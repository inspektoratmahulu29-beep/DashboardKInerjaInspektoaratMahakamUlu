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924d8e5ac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KU" sheetId="19" r:id="R3abe9bb442124630"/>
    <x:sheet xmlns:r="http://schemas.openxmlformats.org/officeDocument/2006/relationships" name="Rencana Aksi" sheetId="18" r:id="Rde20ca5dd7e04aac"/>
    <x:sheet xmlns:r="http://schemas.openxmlformats.org/officeDocument/2006/relationships" name="Capaian Sasaran Strategis" sheetId="1" r:id="R4ebeab590a8f4f60"/>
    <x:sheet xmlns:r="http://schemas.openxmlformats.org/officeDocument/2006/relationships" name="Capaian Sasaran Program" sheetId="2" r:id="Rac0a1f1ae6a04657"/>
    <x:sheet xmlns:r="http://schemas.openxmlformats.org/officeDocument/2006/relationships" name="Capaian Sasaran Kegiatan Utama" sheetId="9" r:id="R9569e6f15b1f48d8"/>
    <x:sheet xmlns:r="http://schemas.openxmlformats.org/officeDocument/2006/relationships" name="Capaian Sasaran Kegiatan(Penun)" sheetId="12" r:id="Rbdccc2386aa44a4d"/>
    <x:sheet xmlns:r="http://schemas.openxmlformats.org/officeDocument/2006/relationships" name="Capaian Sasaran SUBKegiatan(U)" sheetId="10" r:id="Rb868d4a811f24ff0"/>
    <x:sheet xmlns:r="http://schemas.openxmlformats.org/officeDocument/2006/relationships" name="Capaian Sasaran SUBKegiatan (P)" sheetId="13" r:id="Rb5072c64a6634a63"/>
    <x:sheet xmlns:r="http://schemas.openxmlformats.org/officeDocument/2006/relationships" name="Monev Renaksi IKU" sheetId="15" r:id="R50544c47d2ff4163"/>
    <x:sheet xmlns:r="http://schemas.openxmlformats.org/officeDocument/2006/relationships" name="Monev Program" sheetId="20" r:id="R31f7345fb45048d1"/>
    <x:sheet xmlns:r="http://schemas.openxmlformats.org/officeDocument/2006/relationships" name="Monev output Subkegiatan Utama" sheetId="11" r:id="Rd4b9dc7aed384d18"/>
    <x:sheet xmlns:r="http://schemas.openxmlformats.org/officeDocument/2006/relationships" name="Monev Subkegiatan Penunjang" sheetId="14" r:id="Rcc71f7f0b8344fc9"/>
    <x:sheet xmlns:r="http://schemas.openxmlformats.org/officeDocument/2006/relationships" name="Rekap realisasi PKPT" sheetId="24" r:id="R1c789b6b85ce47e3"/>
    <x:sheet xmlns:r="http://schemas.openxmlformats.org/officeDocument/2006/relationships" name="Realisasi Fisik &amp; Keu" sheetId="25" r:id="R871b7e59a1744732"/>
  </x:sheets>
</x:workbook>
</file>

<file path=xl/sharedStrings.xml><?xml version="1.0" encoding="utf-8"?>
<x:sst xmlns:x="http://schemas.openxmlformats.org/spreadsheetml/2006/main">
  <x:si>
    <x:t xml:space="preserve">INDIKATOR KINERJA UTAMA (IKU)</x:t>
  </x:si>
  <x:si>
    <x:t xml:space="preserve">INSPEKTORAT KABUPATEN MAHAKAM ULU</x:t>
  </x:si>
  <x:si>
    <x:t xml:space="preserve">Periode Perencanaan : Tahun 2025-2030</x:t>
  </x:si>
  <x:si>
    <x:t xml:space="preserve">No</x:t>
  </x:si>
  <x:si>
    <x:t xml:space="preserve">Indikator Kinerja Utama</x:t>
  </x:si>
  <x:si>
    <x:t xml:space="preserve">Defenisi Operasional</x:t>
  </x:si>
  <x:si>
    <x:t xml:space="preserve">Rumus Perhitungan</x:t>
  </x:si>
  <x:si>
    <x:t xml:space="preserve">Sumber Data</x:t>
  </x:si>
  <x:si>
    <x:t xml:space="preserve">Baseline</x:t>
  </x:si>
  <x:si>
    <x:t xml:space="preserve">Target Tahun</x:t>
  </x:si>
  <x:si>
    <x:t xml:space="preserve">Tahun </x:t>
  </x:si>
  <x:si>
    <x:t xml:space="preserve">Satuan Hasil</x:t>
  </x:si>
  <x:si>
    <x:t xml:space="preserve">Target </x:t>
  </x:si>
  <x:si>
    <x:t xml:space="preserve">Maturitas Penyelenggaraan SPIP Terintegrasi</x:t>
  </x:si>
  <x:si>
    <x:t xml:space="preserve">Tingkat kematangan penyelenggaraan SPIP Terintegrasi Pemerintah Kabupaten Mahakam Ulu.</x:t>
  </x:si>
  <x:si>
    <x:t xml:space="preserve">Hasil penilaian maturitas SPIP oleh APIP/BPKP.</x:t>
  </x:si>
  <x:si>
    <x:t xml:space="preserve">Hasil evaluasi SPIP Terintegrasi</x:t>
  </x:si>
  <x:si>
    <x:t xml:space="preserve">Level</x:t>
  </x:si>
  <x:si>
    <x:t xml:space="preserve">Indeks Efektivitas Pengendalian Korupsi (IEPK)</x:t>
  </x:si>
  <x:si>
    <x:t xml:space="preserve">Tingkat efektivitas pengendalian untuk mencegah dan menangani risiko korupsi.</x:t>
  </x:si>
  <x:si>
    <x:t xml:space="preserve">Nilai hasil penilaian IEPK.</x:t>
  </x:si>
  <x:si>
    <x:t xml:space="preserve">Hasil penilaian SPIP/IEPK</x:t>
  </x:si>
  <x:si>
    <x:t xml:space="preserve">Indeks</x:t>
  </x:si>
  <x:si>
    <x:t xml:space="preserve">Manajemen Risiko Indeks (MRI)</x:t>
  </x:si>
  <x:si>
    <x:t xml:space="preserve">Tingkat kematangan penerapan manajemen risiko pemerintah daerah.</x:t>
  </x:si>
  <x:si>
    <x:t xml:space="preserve">Nilai hasil penilaian MRI.</x:t>
  </x:si>
  <x:si>
    <x:t xml:space="preserve">Hasil penilaian MRI</x:t>
  </x:si>
  <x:si>
    <x:t xml:space="preserve">Nilai SAKIP Komponen Evaluasi Internal</x:t>
  </x:si>
  <x:si>
    <x:t xml:space="preserve">Kualitas evaluasi internal terhadap akuntabilitas kinerja perangkat daerah.</x:t>
  </x:si>
  <x:si>
    <x:t xml:space="preserve">Nilai hasil evaluasi internal SAKIP.</x:t>
  </x:si>
  <x:si>
    <x:t xml:space="preserve">LHE/evaluasi SAKIP</x:t>
  </x:si>
  <x:si>
    <x:t xml:space="preserve">Skor</x:t>
  </x:si>
  <x:si>
    <x:t xml:space="preserve">Indeks Integritas Pemerintah</x:t>
  </x:si>
  <x:si>
    <x:t xml:space="preserve">Tingkat integritas pemerintah daerah berdasarkan hasil survei/penilaian integritas.</x:t>
  </x:si>
  <x:si>
    <x:t xml:space="preserve">Nilai hasil SPI/indeks integritas.</x:t>
  </x:si>
  <x:si>
    <x:t xml:space="preserve">Hasil SPI KPK</x:t>
  </x:si>
  <x:si>
    <x:t xml:space="preserve">Persentase Penyelesaian Tindak Lanjut Hasil Pemeriksaan</x:t>
  </x:si>
  <x:si>
    <x:t xml:space="preserve">Persentase rekomendasi hasil pemeriksaan APIP/BPK yang telah ditindaklanjuti.</x:t>
  </x:si>
  <x:si>
    <x:t xml:space="preserve">Rekomendasi selesai / total rekomendasi x 100%.</x:t>
  </x:si>
  <x:si>
    <x:t xml:space="preserve">Database TLHP Inspektorat</x:t>
  </x:si>
  <x:si>
    <x:t xml:space="preserve">%</x:t>
  </x:si>
  <x:si>
    <x:t xml:space="preserve">Skor Kapabilitas APIP</x:t>
  </x:si>
  <x:si>
    <x:t xml:space="preserve">Tingkat kapabilitas Inspektorat sebagai aparat pengawasan intern pemerintah.</x:t>
  </x:si>
  <x:si>
    <x:t xml:space="preserve">Hasil penilaian kapabilitas APIP.</x:t>
  </x:si>
  <x:si>
    <x:t xml:space="preserve">Penilaian kapabilitas APIP</x:t>
  </x:si>
  <x:si>
    <x:t xml:space="preserve">RENCANA AKSI</x:t>
  </x:si>
  <x:si>
    <x:t xml:space="preserve">TAHUN ANGGARAN 2026</x:t>
  </x:si>
  <x:si>
    <x:t xml:space="preserve">NO</x:t>
  </x:si>
  <x:si>
    <x:t xml:space="preserve">TUJUAN</x:t>
  </x:si>
  <x:si>
    <x:t xml:space="preserve">SASARAN</x:t>
  </x:si>
  <x:si>
    <x:t xml:space="preserve">INDIKATOR TUJUAN/SASARAN</x:t>
  </x:si>
  <x:si>
    <x:t xml:space="preserve">TARGET</x:t>
  </x:si>
  <x:si>
    <x:t xml:space="preserve">PROGRAM</x:t>
  </x:si>
  <x:si>
    <x:t xml:space="preserve">KEGIATAN/SUB KEGIATAN</x:t>
  </x:si>
  <x:si>
    <x:t xml:space="preserve">PENCAPAIAN TARGET 2026</x:t>
  </x:si>
  <x:si>
    <x:t xml:space="preserve">AKSI/</x:t>
  </x:si>
  <x:si>
    <x:t xml:space="preserve">Unit </x:t>
  </x:si>
  <x:si>
    <x:t xml:space="preserve">TW 1</x:t>
  </x:si>
  <x:si>
    <x:t xml:space="preserve">TW 2</x:t>
  </x:si>
  <x:si>
    <x:t xml:space="preserve">TW 3</x:t>
  </x:si>
  <x:si>
    <x:t xml:space="preserve">TW 4</x:t>
  </x:si>
  <x:si>
    <x:t xml:space="preserve">Kegiatan Pendukung</x:t>
  </x:si>
  <x:si>
    <x:t xml:space="preserve">Penanggung Jawab</x:t>
  </x:si>
  <x:si>
    <x:t xml:space="preserve">Meningkatnya Kualitas Pengawasan dalam Penyelenggaraan Pemerintahan</x:t>
  </x:si>
  <x:si>
    <x:t xml:space="preserve">Meningkatnya kualitas pengendalian intern pemerintah daerah</x:t>
  </x:si>
  <x:si>
    <x:t xml:space="preserve">Nilai Maturitas SPIP</x:t>
  </x:si>
  <x:si>
    <x:t xml:space="preserve">Level 3</x:t>
  </x:si>
  <x:si>
    <x:t xml:space="preserve">PROGRAM PERUMUSAN KEBIJAKAN, PENDAMPINGAN DAN ASISTENSI</x:t>
  </x:si>
  <x:si>
    <x:t xml:space="preserve">Pendampingan, asistensi, verifikasi dan penilaian SPIP/RB</x:t>
  </x:si>
  <x:si>
    <x:t xml:space="preserve">Pendampingan SPIP-T, manajemen risiko dan evaluasi pengendalian</x:t>
  </x:si>
  <x:si>
    <x:t xml:space="preserve">Inspektur</x:t>
  </x:si>
  <x:si>
    <x:t xml:space="preserve">Meningkatnya integritas pemerintah daerah</x:t>
  </x:si>
  <x:si>
    <x:t xml:space="preserve">Nilai IEPK</x:t>
  </x:si>
  <x:si>
    <x:t xml:space="preserve">Koordinasi, monitoring dan evaluasi pencegahan korupsi</x:t>
  </x:si>
  <x:si>
    <x:t xml:space="preserve">Sosialisasi anti korupsi, gratifikasi, MCP dan SPI</x:t>
  </x:si>
  <x:si>
    <x:t xml:space="preserve">Irban III</x:t>
  </x:si>
  <x:si>
    <x:t xml:space="preserve">Meningkatnya pengelolaan risiko perangkat daerah</x:t>
  </x:si>
  <x:si>
    <x:t xml:space="preserve">Nilai MRI</x:t>
  </x:si>
  <x:si>
    <x:t xml:space="preserve">Pendampingan manajemen risiko dan RTP</x:t>
  </x:si>
  <x:si>
    <x:t xml:space="preserve">Pendampingan register risiko dan RTP</x:t>
  </x:si>
  <x:si>
    <x:t xml:space="preserve">Irban II</x:t>
  </x:si>
  <x:si>
    <x:t xml:space="preserve">Meningkatnya Akuntabilitas Kinerja Perangkat Daerah</x:t>
  </x:si>
  <x:si>
    <x:t xml:space="preserve">Meningkatnya kualitas evaluasi internal SAKIP</x:t>
  </x:si>
  <x:si>
    <x:t xml:space="preserve">Nilai SAKIP komponen evaluasi internal</x:t>
  </x:si>
  <x:si>
    <x:t xml:space="preserve">PROGRAM PENYELENGGARAAN PENGAWASAN</x:t>
  </x:si>
  <x:si>
    <x:t xml:space="preserve">Reviu laporan kinerja dan evaluasi SAKIP</x:t>
  </x:si>
  <x:si>
    <x:t xml:space="preserve">Reviu/evaluasi SAKIP seluruh OPD</x:t>
  </x:si>
  <x:si>
    <x:t xml:space="preserve">Irban I</x:t>
  </x:si>
  <x:si>
    <x:t xml:space="preserve">Meningkatnya Kepatuhan Terhadap Peraturan Perundang-undangan</x:t>
  </x:si>
  <x:si>
    <x:t xml:space="preserve">Meningkatnya penyelesaian rekomendasi pemeriksaan</x:t>
  </x:si>
  <x:si>
    <x:t xml:space="preserve">Persentase tindak lanjut hasil pemeriksaan</x:t>
  </x:si>
  <x:si>
    <x:t xml:space="preserve">Monitoring dan evaluasi tindak lanjut hasil pemeriksaan APIP/BPK</x:t>
  </x:si>
  <x:si>
    <x:t xml:space="preserve">Pemutakhiran database TLHP dan pembahasan tindak lanjut</x:t>
  </x:si>
  <x:si>
    <x:t xml:space="preserve">Meningkatnya Kualitas Pengawasan dan Pengendalian Intern</x:t>
  </x:si>
  <x:si>
    <x:t xml:space="preserve">Meningkatnya efektivitas pengawasan intern</x:t>
  </x:si>
  <x:si>
    <x:t xml:space="preserve">Persentase rekomendasi pengawasan yang ditindaklanjuti</x:t>
  </x:si>
  <x:si>
    <x:t xml:space="preserve">Pengawasan kinerja, keuangan dan dengan tujuan tertentu</x:t>
  </x:si>
  <x:si>
    <x:t xml:space="preserve">Audit, reviu, monitoring dan pengujian kepatuhan</x:t>
  </x:si>
  <x:si>
    <x:t xml:space="preserve">Irban I, II &amp; III</x:t>
  </x:si>
  <x:si>
    <x:t xml:space="preserve">Meningkatnya Profesionalisme SDM Pengawasan</x:t>
  </x:si>
  <x:si>
    <x:t xml:space="preserve">Meningkatnya kompetensi aparatur pengawasan</x:t>
  </x:si>
  <x:si>
    <x:t xml:space="preserve">Persentase pegawai mengikuti pengembangan kompetensi</x:t>
  </x:si>
  <x:si>
    <x:t xml:space="preserve">PROGRAM PENUNJANG URUSAN PEMERINTAHAN DAERAH KABUPATEN/KOTA</x:t>
  </x:si>
  <x:si>
    <x:t xml:space="preserve">Pendidikan dan pelatihan pegawai berdasarkan tugas dan fungsi</x:t>
  </x:si>
  <x:si>
    <x:t xml:space="preserve">Diklat/sertifikasi auditor dan peningkatan kompetensi</x:t>
  </x:si>
  <x:si>
    <x:t xml:space="preserve">Sekretaris</x:t>
  </x:si>
  <x:si>
    <x:t xml:space="preserve">Meningkatnya Integritas Pemerintah dan kualitas pelayanan publik</x:t>
  </x:si>
  <x:si>
    <x:t xml:space="preserve">Persentase Unit Kerja yang memenuhi standar Pembangunan ZI</x:t>
  </x:si>
  <x:si>
    <x:t xml:space="preserve"> Pendampingan, Asistensi, Verifikasi, dan Penilaian Reformasi Birokrasi</x:t>
  </x:si>
  <x:si>
    <x:t xml:space="preserve">Pendampingan LKE, dan Reviu TPI</x:t>
  </x:si>
  <x:si>
    <x:t xml:space="preserve">Meningkatnya Kualitas Evaluasi Internal</x:t>
  </x:si>
  <x:si>
    <x:t xml:space="preserve">Nilai Evaluasi Internal</x:t>
  </x:si>
  <x:si>
    <x:t xml:space="preserve">Penyelenggaraan Pengawasan Internal</x:t>
  </x:si>
  <x:si>
    <x:t xml:space="preserve">Reviu AKIP Pemda, Evaluasi SAKIP</x:t>
  </x:si>
  <x:si>
    <x:t xml:space="preserve">Reviu Laporan Kinerja</x:t>
  </x:si>
  <x:si>
    <x:t xml:space="preserve">Meningkatnya Kapabilitas APIP</x:t>
  </x:si>
  <x:si>
    <x:t xml:space="preserve">Tingkat Kapabilitas APIP</x:t>
  </x:si>
  <x:si>
    <x:t xml:space="preserve">level 2</x:t>
  </x:si>
  <x:si>
    <x:t xml:space="preserve">PM, PK, Evaluasi KAPIP</x:t>
  </x:si>
  <x:si>
    <x:t xml:space="preserve">Kerja Sama Pengawasan Internal</x:t>
  </x:si>
  <x:si>
    <x:t xml:space="preserve">Meningkatnya kepatuhan pengelolaan keuangan daerah dan efektivitas pengendalian intern pemerintah daerah</x:t>
  </x:si>
  <x:si>
    <x:t xml:space="preserve">Lanjut Hasil Pemeriksaan</x:t>
  </x:si>
  <x:si>
    <x:t xml:space="preserve">Monitoring dan Evaluasi Tindak Lanjut Hasil Pemeriksaan BPK RI dan Tindak Lanjut Hasil Pemeriksaan APIP</x:t>
  </x:si>
  <x:si>
    <x:t xml:space="preserve">Pemutakhiran data aplikasi SIMTLHP/SIPTL </x:t>
  </x:si>
  <x:si>
    <x:t xml:space="preserve"> Pengawasan Kinerja Pemerintah Daerah</x:t>
  </x:si>
  <x:si>
    <x:t xml:space="preserve">Audit Kinerja</x:t>
  </x:si>
  <x:si>
    <x:t xml:space="preserve">Irban I, II, III</x:t>
  </x:si>
  <x:si>
    <x:t xml:space="preserve">Pengawasan Keuangan Pemerintah Daerah</x:t>
  </x:si>
  <x:si>
    <x:t xml:space="preserve">Audit ketaatan</x:t>
  </x:si>
  <x:si>
    <x:t xml:space="preserve">Pengawasan Desa</x:t>
  </x:si>
  <x:si>
    <x:t xml:space="preserve">Pengawasan Tata Kelola Desa</x:t>
  </x:si>
  <x:si>
    <x:t xml:space="preserve"> Reviu Laporan Keuangan</x:t>
  </x:si>
  <x:si>
    <x:t xml:space="preserve">Reviu LKPD</x:t>
  </x:si>
  <x:si>
    <x:t xml:space="preserve">Persentase Pemulihan Kerugian Negara/Daerah</x:t>
  </x:si>
  <x:si>
    <x:t xml:space="preserve">Penyelenggaraan Pengawasan dengan Tujuan Tertentu</x:t>
  </x:si>
  <x:si>
    <x:t xml:space="preserve"> Penanganan Penyelesaian Kerugian Negara/Daerah</x:t>
  </x:si>
  <x:si>
    <x:t xml:space="preserve">Rekonsiliasi data temuan dan Penagihan STS dan Sidang/Rapat TPTGR</x:t>
  </x:si>
  <x:si>
    <x:t xml:space="preserve"> Pengawasan Dengan Tujuan Tertentu</x:t>
  </x:si>
  <x:si>
    <x:t xml:space="preserve">Probity Audit, COSO, TL DUMAS</x:t>
  </x:si>
  <x:si>
    <x:t xml:space="preserve">Meningkatnya Kualitas Akuntabilitas Kinerja dan Pelayanan Publik</x:t>
  </x:si>
  <x:si>
    <x:t xml:space="preserve">Predikat SAKIP Inspektorat</x:t>
  </x:si>
  <x:si>
    <x:t xml:space="preserve">BB</x:t>
  </x:si>
  <x:si>
    <x:t xml:space="preserve">Perencanaan, Penganggaran, dan Evaluasi</x:t>
  </x:si>
  <x:si>
    <x:t xml:space="preserve">Penyusunan Dokumen Renstra, Renja, RKA/DPA</x:t>
  </x:si>
  <x:si>
    <x:t xml:space="preserve">Sekretariat</x:t>
  </x:si>
  <x:si>
    <x:t xml:space="preserve">Kinerja Perangkat Daerah</x:t>
  </x:si>
  <x:si>
    <x:t xml:space="preserve">Indeks Kepuasan Masyarakat</x:t>
  </x:si>
  <x:si>
    <x:t xml:space="preserve">Administrasi Keuangan Perangkat Daerah</x:t>
  </x:si>
  <x:si>
    <x:t xml:space="preserve">Pemrosesan pembayaran Gaji dan Tunjangan</x:t>
  </x:si>
  <x:si>
    <x:t xml:space="preserve">Administrasi Kepegawaian Perangkat Daerah</x:t>
  </x:si>
  <x:si>
    <x:t xml:space="preserve">Diklat Penjenjangan dan Substantif</x:t>
  </x:si>
  <x:si>
    <x:t xml:space="preserve">Administrasi Umum Perangkat Daerah</x:t>
  </x:si>
  <x:si>
    <x:t xml:space="preserve">Pelaksanaan Administrasi Umum</x:t>
  </x:si>
  <x:si>
    <x:t xml:space="preserve">Pengadaan Barang Milik Daerah Penunjang Urusan Pemerintah Daerah</x:t>
  </x:si>
  <x:si>
    <x:t xml:space="preserve">Penyediaan Sarana dan Prasarana Kantor</x:t>
  </x:si>
  <x:si>
    <x:t xml:space="preserve">Penyediaan Jasa Penunjang Urusan</x:t>
  </x:si>
  <x:si>
    <x:t xml:space="preserve">Penyediaan Penunjang pelaksanaan tugas</x:t>
  </x:si>
  <x:si>
    <x:t xml:space="preserve">Pemerintahan Daerah</x:t>
  </x:si>
  <x:si>
    <x:t xml:space="preserve">Pemeliharaan Barang Milik Daerah Penunjang</x:t>
  </x:si>
  <x:si>
    <x:t xml:space="preserve">Pemeliharaan BMD, Penatausahaan BMD</x:t>
  </x:si>
  <x:si>
    <x:t xml:space="preserve">Urusan Pemerintahan Daerah</x:t>
  </x:si>
  <x:si>
    <x:t xml:space="preserve">SASARAN STRATEGIS OPD</x:t>
  </x:si>
  <x:si>
    <x:t xml:space="preserve">Rumus Pengukuran Kinerja</x:t>
  </x:si>
  <x:si>
    <x:t xml:space="preserve">DUKUNGAN SUMBER DAYA ANGGARAN</x:t>
  </x:si>
  <x:si>
    <x:t xml:space="preserve">SASARAN STRATEGIS </x:t>
  </x:si>
  <x:si>
    <x:t xml:space="preserve">INDIKATOR KINERJA </x:t>
  </x:si>
  <x:si>
    <x:t xml:space="preserve">Target Kinerja</x:t>
  </x:si>
  <x:si>
    <x:t xml:space="preserve"> Realisasi Kinerja </x:t>
  </x:si>
  <x:si>
    <x:t xml:space="preserve">% Capaian </x:t>
  </x:si>
  <x:si>
    <x:t xml:space="preserve">Pagu Anggaran</x:t>
  </x:si>
  <x:si>
    <x:t xml:space="preserve">Realisasi Anggaran</x:t>
  </x:si>
  <x:si>
    <x:t xml:space="preserve">% Realisasi </x:t>
  </x:si>
  <x:si>
    <x:t xml:space="preserve">Persentase peningkatan predikat SAKIP Perangkat Daerah dengan kategori minimal CC</x:t>
  </x:si>
  <x:si>
    <x:t xml:space="preserve">Realisasi/target x 100%</x:t>
  </x:si>
  <x:si>
    <x:t xml:space="preserve">Meningkatnya kepatuhan organisasi perangkat daerah terhadap peraturan perundang-undangan</x:t>
  </x:si>
  <x:si>
    <x:t xml:space="preserve">Persentase progress Tindak Lanjut Hasil Pemeriksaan APIP</x:t>
  </x:si>
  <x:si>
    <x:t xml:space="preserve">Persentase progress Tindak Lanjut Hasil Pemeriksaan BPK RI</x:t>
  </x:si>
  <x:si>
    <x:t xml:space="preserve">Meningkatnya Kapabilitas Pengawasan Intern</x:t>
  </x:si>
  <x:si>
    <x:t xml:space="preserve">Capaian Skor Minimal Kapabilitas APIP Kabupaten Mahakam Ulu</x:t>
  </x:si>
  <x:si>
    <x:t xml:space="preserve">Meningkatnya kualitas Sistem Pengendalian Internal Pemerintah Terintegrasi</x:t>
  </x:si>
  <x:si>
    <x:t xml:space="preserve">Capaian Skor Minimal Maturitas Penyelenggaraan SPIP Kabupaten Mahakam Ulu</x:t>
  </x:si>
  <x:si>
    <x:t xml:space="preserve">Terwujudnya optimalisasi peran APIP dalam upaya pencegahan tindak pidana korupsi</x:t>
  </x:si>
  <x:si>
    <x:t xml:space="preserve">Persentase progress pemenuhan aksi pencegahan dan pemberantasan korupsi</x:t>
  </x:si>
  <x:si>
    <x:t xml:space="preserve">SASARAN PROGRAM</x:t>
  </x:si>
  <x:si>
    <x:t xml:space="preserve">NAMA PROGRAM</x:t>
  </x:si>
  <x:si>
    <x:t xml:space="preserve">Meningkatnya kualitas pelaksanaan pengawasan intern</x:t>
  </x:si>
  <x:si>
    <x:t xml:space="preserve">Persentase penugasan pengawasan yang selesai sesuai PKPT</x:t>
  </x:si>
  <x:si>
    <x:t xml:space="preserve">PROGRAM PERUMUSAN KEBIJAKAN PENDAMPINGAN DAN ASISTENSI</x:t>
  </x:si>
  <x:si>
    <x:t xml:space="preserve">Meningkatnya kualitas pendampingan dan penguatan tata kelola</x:t>
  </x:si>
  <x:si>
    <x:t xml:space="preserve">Persentase perangkat daerah yang memperoleh pendampingan/asistensi</x:t>
  </x:si>
  <x:si>
    <x:t xml:space="preserve">Meningkatnya kualitas dukungan administrasi dan layanan internal</x:t>
  </x:si>
  <x:si>
    <x:t xml:space="preserve">Persentase layanan administrasi yang terpenuhi</x:t>
  </x:si>
  <x:si>
    <x:t xml:space="preserve"> </x:t>
  </x:si>
  <x:si>
    <x:t xml:space="preserve">SASARAN KEGIATAN</x:t>
  </x:si>
  <x:si>
    <x:t xml:space="preserve">NAMA KEGIATAN</x:t>
  </x:si>
  <x:si>
    <x:t xml:space="preserve">Meningkatnya kualitas pengawasan internal</x:t>
  </x:si>
  <x:si>
    <x:t xml:space="preserve">Persentase penugasan pengawasan internal selesai</x:t>
  </x:si>
  <x:si>
    <x:t xml:space="preserve">Meningkatnya efektivitas pengawasan khusus</x:t>
  </x:si>
  <x:si>
    <x:t xml:space="preserve">Persentase penugasan dengan tujuan tertentu selesai</x:t>
  </x:si>
  <x:si>
    <x:t xml:space="preserve">Pendampingan dan Asistensi</x:t>
  </x:si>
  <x:si>
    <x:t xml:space="preserve">Meningkatnya kualitas tata kelola dan integritas</x:t>
  </x:si>
  <x:si>
    <x:t xml:space="preserve">Persentase OPD memperoleh pendampingan/asistensi</x:t>
  </x:si>
  <x:si>
    <x:t xml:space="preserve">Perencanaan, Penganggaran, dan Evaluasi Kinerja Perangkat Daerah</x:t>
  </x:si>
  <x:si>
    <x:t xml:space="preserve">Terlaksananya layanan penunjang perangkat daerah</x:t>
  </x:si>
  <x:si>
    <x:t xml:space="preserve">Persentase pemenuhan layanan</x:t>
  </x:si>
  <x:si>
    <x:t xml:space="preserve">Penyediaan Jasa Penunjang Urusan Pemerintahan Daerah</x:t>
  </x:si>
  <x:si>
    <x:t xml:space="preserve">Pemeliharaan Barang Milik Daerah Penunjang Urusan Pemerintahan Daerah</x:t>
  </x:si>
  <x:si>
    <x:t xml:space="preserve">SASARAN SUB KEGIATAN</x:t>
  </x:si>
  <x:si>
    <x:t xml:space="preserve">NAMA SUB KEGIATAN</x:t>
  </x:si>
  <x:si>
    <x:t xml:space="preserve">Pengawasan Kinerja Pemerintah Daerah</x:t>
  </x:si>
  <x:si>
    <x:t xml:space="preserve">Terlaksananya output subkegiatan</x:t>
  </x:si>
  <x:si>
    <x:t xml:space="preserve">Jumlah output</x:t>
  </x:si>
  <x:si>
    <x:t xml:space="preserve">Laporan/Output</x:t>
  </x:si>
  <x:si>
    <x:t xml:space="preserve">Reviu Laporan Keuangan</x:t>
  </x:si>
  <x:si>
    <x:t xml:space="preserve">Penanganan Penyelesaian Kerugian Negara/Daerah</x:t>
  </x:si>
  <x:si>
    <x:t xml:space="preserve">Pengawasan Dengan Tujuan Tertentu</x:t>
  </x:si>
  <x:si>
    <x:t xml:space="preserve">Pendampingan, Asistensi, Verifikasi, dan Penilaian Reformasi Birokrasi</x:t>
  </x:si>
  <x:si>
    <x:t xml:space="preserve">Koordinasi, Monitoring dan Evaluasi serta Verifikasi Pencegahan dan Pemberantasan Korupsi</x:t>
  </x:si>
  <x:si>
    <x:t xml:space="preserve">Pendampingan, Asistensi dan Verifikasi Penegakan Integritas</x:t>
  </x:si>
  <x:si>
    <x:t xml:space="preserve">Terlaksananya subkegiatan penunjang</x:t>
  </x:si>
  <x:si>
    <x:t xml:space="preserve">Persentase output tercapai</x:t>
  </x:si>
  <x:si>
    <x:t xml:space="preserve">LAPORAN MONITORING DAN EVALUASI ATAS PENCAPAIAN IKU PERANGKAT DAERAH</x:t>
  </x:si>
  <x:si>
    <x:t xml:space="preserve">TUJUAN DAN SASARAN STRATEGIS</x:t>
  </x:si>
  <x:si>
    <x:t xml:space="preserve">Nama Program pelaksanaan IKU</x:t>
  </x:si>
  <x:si>
    <x:t xml:space="preserve">CATATAN HASIL MONEV </x:t>
  </x:si>
  <x:si>
    <x:t xml:space="preserve">KENDALA/HAMBATAN</x:t>
  </x:si>
  <x:si>
    <x:t xml:space="preserve">TINDAK LANJUT</x:t>
  </x:si>
  <x:si>
    <x:t xml:space="preserve">PENANGGUNG JAWAB</x:t>
  </x:si>
  <x:si>
    <x:t xml:space="preserve">SASARAN STRATEGIS</x:t>
  </x:si>
  <x:si>
    <x:t xml:space="preserve">INDIKATOR KINERJA TUJUAN/SASARAN</x:t>
  </x:si>
  <x:si>
    <x:t xml:space="preserve">SATUAN HASIL</x:t>
  </x:si>
  <x:si>
    <x:t xml:space="preserve">TARGET KINERJA </x:t>
  </x:si>
  <x:si>
    <x:t xml:space="preserve">REALISASI </x:t>
  </x:si>
  <x:si>
    <x:t xml:space="preserve">-</x:t>
  </x:si>
  <x:si>
    <x:t xml:space="preserve">Maturitas Penyelenggaraan Sistem Pengendalian Internal Pemerintah (SPIP) Terintegrasi</x:t>
  </x:si>
  <x:si>
    <x:t xml:space="preserve">Penilaian maturitas SPIP-T dilaksanakan bertahap pada seluruh perangkat daerah.</x:t>
  </x:si>
  <x:si>
    <x:t xml:space="preserve">Kelengkapan bukti dukung belum seragam.</x:t>
  </x:si>
  <x:si>
    <x:t xml:space="preserve">Percepatan validasi dan penjaminan kualitas.</x:t>
  </x:si>
  <x:si>
    <x:t xml:space="preserve">Meningkatnya Integritas Pemerintah Daerah</x:t>
  </x:si>
  <x:si>
    <x:t xml:space="preserve">Persentase Unit Kerja yang berpredikat WBK/WBBM</x:t>
  </x:si>
  <x:si>
    <x:t xml:space="preserve">Pendampingan pembangunan integritas dan ZI berjalan.</x:t>
  </x:si>
  <x:si>
    <x:t xml:space="preserve">Kelengkapan bukti dukung OPD bervariasi.</x:t>
  </x:si>
  <x:si>
    <x:t xml:space="preserve">Klinik integritas dan verifikasi berkala.</x:t>
  </x:si>
  <x:si>
    <x:t xml:space="preserve">Pendampingan pembangunan ZI berjalan pada OPD prioritas.</x:t>
  </x:si>
  <x:si>
    <x:t xml:space="preserve">Dokumen ZI belum seluruhnya final.</x:t>
  </x:si>
  <x:si>
    <x:t xml:space="preserve">Verifikasi per triwulan.</x:t>
  </x:si>
  <x:si>
    <x:t xml:space="preserve">Nilai MCSP KPK</x:t>
  </x:si>
  <x:si>
    <x:t xml:space="preserve">Nilai</x:t>
  </x:si>
  <x:si>
    <x:t xml:space="preserve">Pemutakhiran MCP/SPI dilakukan bersama OPD terkait.</x:t>
  </x:si>
  <x:si>
    <x:t xml:space="preserve">Data dukung perlu penyelarasan.</x:t>
  </x:si>
  <x:si>
    <x:t xml:space="preserve">Rakor dan verifikasi bukti dukung.</x:t>
  </x:si>
  <x:si>
    <x:t xml:space="preserve">Indeks Integritas Pemerintah (Survey Penilaian Integritas/SPI)</x:t>
  </x:si>
  <x:si>
    <x:t xml:space="preserve">Pemantauan SPI dan integritas daerah dilakukan.</x:t>
  </x:si>
  <x:si>
    <x:t xml:space="preserve">Partisipasi responden perlu dijaga.</x:t>
  </x:si>
  <x:si>
    <x:t xml:space="preserve">Sosialisasi dan monitoring tindak lanjut.</x:t>
  </x:si>
  <x:si>
    <x:t xml:space="preserve">Meningkatnya kualitas evaluasi internal</x:t>
  </x:si>
  <x:si>
    <x:t xml:space="preserve">Nilai SAKIP Komponen Evaluasi Akuntabilitas Kinerja Internal</x:t>
  </x:si>
  <x:si>
    <x:t xml:space="preserve">Evaluasi internal SAKIP dilaksanakan pada OPD.</x:t>
  </x:si>
  <x:si>
    <x:t xml:space="preserve">Volume 28 OPD cukup besar.</x:t>
  </x:si>
  <x:si>
    <x:t xml:space="preserve">Pembagian tim dan percepatan LHE.</x:t>
  </x:si>
  <x:si>
    <x:t xml:space="preserve">Meningkatknya Kualitas Pengawasan dan Pengendalian Intern Pemerintahan Daerah</x:t>
  </x:si>
  <x:si>
    <x:t xml:space="preserve">Pendampingan SPIP-T berjalan.</x:t>
  </x:si>
  <x:si>
    <x:t xml:space="preserve">Maturitas antar-OPD belum merata.</x:t>
  </x:si>
  <x:si>
    <x:t xml:space="preserve">Klinik SPIP dan validasi bukti dukung.</x:t>
  </x:si>
  <x:si>
    <x:t xml:space="preserve">Nilai Manajemen Risiko Indeks (MRI)</x:t>
  </x:si>
  <x:si>
    <x:t xml:space="preserve">Pendampingan register risiko dan RTP berjalan.</x:t>
  </x:si>
  <x:si>
    <x:t xml:space="preserve">Dokumen risiko antar-OPD belum seragam.</x:t>
  </x:si>
  <x:si>
    <x:t xml:space="preserve">Monitoring dan reviu RTP.</x:t>
  </x:si>
  <x:si>
    <x:t xml:space="preserve">Penilaian mandiri dan penjaminan kualitas kapabilitas APIP berjalan.</x:t>
  </x:si>
  <x:si>
    <x:t xml:space="preserve">Kebutuhan kompetensi perlu dipenuhi.</x:t>
  </x:si>
  <x:si>
    <x:t xml:space="preserve">Diklat/sertifikasi dan QA kapabilitas.</x:t>
  </x:si>
  <x:si>
    <x:t xml:space="preserve">Pemutakhiran TLHP dilaksanakan.</x:t>
  </x:si>
  <x:si>
    <x:t xml:space="preserve">Sebagian rekomendasi masih berproses.</x:t>
  </x:si>
  <x:si>
    <x:t xml:space="preserve">Rekonsiliasi dan surat tindak lanjut.</x:t>
  </x:si>
  <x:si>
    <x:t xml:space="preserve">Plt. Inspektur Insepktorat Kabupaten Mahakam Ulu</x:t>
  </x:si>
  <x:si>
    <x:t xml:space="preserve">Margono, ST, M.Si</x:t>
  </x:si>
  <x:si>
    <x:t xml:space="preserve">Pembina Tk.I (IV/b)</x:t>
  </x:si>
  <x:si>
    <x:t xml:space="preserve">NIP.19720805 200502 1 002</x:t>
  </x:si>
  <x:si>
    <x:t xml:space="preserve">LAPORAN MONITORING DAN EVALUASI ATAS RENCANA AKSI PENCAPAIAN KINERJA PROGRAM</x:t>
  </x:si>
  <x:si>
    <x:t xml:space="preserve">ANGGARAN (Rp)</x:t>
  </x:si>
  <x:si>
    <x:t xml:space="preserve">REALISASI (Rp)</x:t>
  </x:si>
  <x:si>
    <x:t xml:space="preserve">CATATAN HASIL MONEV</x:t>
  </x:si>
  <x:si>
    <x:t xml:space="preserve">KENDALA / HAMBATAN</x:t>
  </x:si>
  <x:si>
    <x:t xml:space="preserve">INDIKATOR KINERJA</x:t>
  </x:si>
  <x:si>
    <x:t xml:space="preserve">SATUAN</x:t>
  </x:si>
  <x:si>
    <x:t xml:space="preserve">TARGET KINERJA TRIWULAN</x:t>
  </x:si>
  <x:si>
    <x:t xml:space="preserve">REALISASI TRIWULAN</x:t>
  </x:si>
  <x:si>
    <x:t xml:space="preserve">TARGET TRIWULAN</x:t>
  </x:si>
  <x:si>
    <x:t xml:space="preserve">REALISASI Per TW</x:t>
  </x:si>
  <x:si>
    <x:t xml:space="preserve">TW 3 </x:t>
  </x:si>
  <x:si>
    <x:t xml:space="preserve">Persentase peningkatan predikat SAKIP Perangkat Daerah dengan kategori minimal CC </x:t>
  </x:si>
  <x:si>
    <x:t xml:space="preserve">Optimalisasi penerapan SAKIP perangkat daerah</x:t>
  </x:si>
  <x:si>
    <x:t xml:space="preserve">Persentase OPD yang memperoleh nilai SAKIP dengan predikat minimal CC</x:t>
  </x:si>
  <x:si>
    <x:t xml:space="preserve">Evaluasi SAKIP berjalan terhadap seluruh OPD.</x:t>
  </x:si>
  <x:si>
    <x:t xml:space="preserve">Kelengkapan bukti dukung.</x:t>
  </x:si>
  <x:si>
    <x:t xml:space="preserve">Percepatan LHE dan pemutakhiran bukti dukung.</x:t>
  </x:si>
  <x:si>
    <x:t xml:space="preserve">TW 1: Perencanaan dan reviu awal</x:t>
  </x:si>
  <x:si>
    <x:t xml:space="preserve">Realisasi TW 1: Perencanaan dan reviu awal</x:t>
  </x:si>
  <x:si>
    <x:t xml:space="preserve">TW 2: LHE/reviu utama</x:t>
  </x:si>
  <x:si>
    <x:t xml:space="preserve">Realisasi TW 2: LHE/reviu utama</x:t>
  </x:si>
  <x:si>
    <x:t xml:space="preserve">TW 3: Monitoring tindak lanjut</x:t>
  </x:si>
  <x:si>
    <x:t xml:space="preserve">Realisasi TW 3: Monitoring tindak lanjut</x:t>
  </x:si>
  <x:si>
    <x:t xml:space="preserve">TW 4: Finalisasi</x:t>
  </x:si>
  <x:si>
    <x:t xml:space="preserve">Realisasi TW 4: Finalisasi</x:t>
  </x:si>
  <x:si>
    <x:t xml:space="preserve">Persentase progres Tindak Lanjut Hasil Pemeriksaan APIP</x:t>
  </x:si>
  <x:si>
    <x:t xml:space="preserve">Meningkatnya komitmen Perangkat Daerah menyelesaiakan rekomendasi hasil pemeriksaan internal </x:t>
  </x:si>
  <x:si>
    <x:t xml:space="preserve">Persentase Penyelesaian Tindak Lanjut Rekomendasi Hasil Pemeriksaan Inspektorat</x:t>
  </x:si>
  <x:si>
    <x:t xml:space="preserve">Monev TLHP internal berjalan.</x:t>
  </x:si>
  <x:si>
    <x:t xml:space="preserve">Sebagian rekomendasi memerlukan koordinasi.</x:t>
  </x:si>
  <x:si>
    <x:t xml:space="preserve">Rapat pemutakhiran dan surat tindak lanjut.</x:t>
  </x:si>
  <x:si>
    <x:t xml:space="preserve">TW 2: Pemutakhiran rekomendasi</x:t>
  </x:si>
  <x:si>
    <x:t xml:space="preserve">Realisasi TW 2: Pemutakhiran rekomendasi</x:t>
  </x:si>
  <x:si>
    <x:t xml:space="preserve">TW 3: Penyelesaian rekomendasi</x:t>
  </x:si>
  <x:si>
    <x:t xml:space="preserve">Realisasi TW 3: Penyelesaian rekomendasi</x:t>
  </x:si>
  <x:si>
    <x:t xml:space="preserve">TW 4: Finalisasi TLHP</x:t>
  </x:si>
  <x:si>
    <x:t xml:space="preserve">Realisasi TW 4: Finalisasi TLHP</x:t>
  </x:si>
  <x:si>
    <x:t xml:space="preserve">TW 1: Inventarisasi TLHP</x:t>
  </x:si>
  <x:si>
    <x:t xml:space="preserve">Realisasi TW 1: Inventarisasi TLHP</x:t>
  </x:si>
  <x:si>
    <x:t xml:space="preserve">TW 2: Rekonsiliasi TLHP</x:t>
  </x:si>
  <x:si>
    <x:t xml:space="preserve">Realisasi TW 2: Rekonsiliasi TLHP</x:t>
  </x:si>
  <x:si>
    <x:t xml:space="preserve">TW 3: Pemutakhiran</x:t>
  </x:si>
  <x:si>
    <x:t xml:space="preserve">Realisasi TW 3: Pemutakhiran</x:t>
  </x:si>
  <x:si>
    <x:t xml:space="preserve">Persentase progres Tindak Lanjut Hasil Pemeriksaan BPK RI </x:t>
  </x:si>
  <x:si>
    <x:t xml:space="preserve">Meningkatnya komitmen Perangkat Daerah menyelesaiakan rekomendasi hasil pemeriksaan eksternal</x:t>
  </x:si>
  <x:si>
    <x:t xml:space="preserve">Persentase Penyelesaian Tindak Lanjut Rekomendasi Hasil Pemeriksaan BPK RI</x:t>
  </x:si>
  <x:si>
    <x:t xml:space="preserve">Pemutakhiran TLHP BPK berjalan.</x:t>
  </x:si>
  <x:si>
    <x:t xml:space="preserve">Bukti setor belum seluruhnya tersedia.</x:t>
  </x:si>
  <x:si>
    <x:t xml:space="preserve">Rekonsiliasi dan pemutakhiran data.</x:t>
  </x:si>
  <x:si>
    <x:t xml:space="preserve">Meningkatnya kualitas penerapan sistem pengendalian internal pemerintah</x:t>
  </x:si>
  <x:si>
    <x:t xml:space="preserve">Capaian skor minimal Maturitas SPIP Kabupaten Mahakam Ulu</x:t>
  </x:si>
  <x:si>
    <x:t xml:space="preserve">Meningkatnya implementasi SPIP</x:t>
  </x:si>
  <x:si>
    <x:t xml:space="preserve">Level Maturitas SPIP Kabupaten Mahakam Ulu</x:t>
  </x:si>
  <x:si>
    <x:t xml:space="preserve">Pendampingan SPIP-T dan manajemen risiko berjalan.</x:t>
  </x:si>
  <x:si>
    <x:t xml:space="preserve">Tingkat kematangan OPD bervariasi.</x:t>
  </x:si>
  <x:si>
    <x:t xml:space="preserve">Klinik SPIP dan pendampingan terarah.</x:t>
  </x:si>
  <x:si>
    <x:t xml:space="preserve">Meningkatnya….</x:t>
  </x:si>
  <x:si>
    <x:t xml:space="preserve">Layanan administrasi dan keuangan berjalan.</x:t>
  </x:si>
  <x:si>
    <x:t xml:space="preserve">Penyesuaian jadwal belanja.</x:t>
  </x:si>
  <x:si>
    <x:t xml:space="preserve">Monitoring penyerapan dan pengadaan.</x:t>
  </x:si>
  <x:si>
    <x:t xml:space="preserve">Inspektur Insepktorat Kabupaten Mahakam Ulu</x:t>
  </x:si>
  <x:si>
    <x:t xml:space="preserve">….................</x:t>
  </x:si>
  <x:si>
    <x:t xml:space="preserve">Pembina Utama Muda (IV/c)</x:t>
  </x:si>
  <x:si>
    <x:t xml:space="preserve">NIP…..............................</x:t>
  </x:si>
  <x:si>
    <x:t xml:space="preserve">LAPORAN PEMANTAUAN OUTPUT SUB KEGIATAN-UTAMA</x:t>
  </x:si>
  <x:si>
    <x:t xml:space="preserve">INSPEKTORAT KABUPATEN MAHAKAM ULU TA 2026</x:t>
  </x:si>
  <x:si>
    <x:t xml:space="preserve">NAMA AKTIVITAS/PENUGASAN</x:t>
  </x:si>
  <x:si>
    <x:t xml:space="preserve">BIDANG PELAKSANA/PENGAMPU TUGAS</x:t>
  </x:si>
  <x:si>
    <x:t xml:space="preserve">Nama PPTK</x:t>
  </x:si>
  <x:si>
    <x:t xml:space="preserve">Dasar Penugasan</x:t>
  </x:si>
  <x:si>
    <x:t xml:space="preserve">Jumlah Output</x:t>
  </x:si>
  <x:si>
    <x:t xml:space="preserve">Kendala/Hambatan Pelaksanaan</x:t>
  </x:si>
  <x:si>
    <x:t xml:space="preserve">Solusi/Rencana Tindak Lanjut Penyelesaian</x:t>
  </x:si>
  <x:si>
    <x:t xml:space="preserve">DPA/PKPT/ARAHN PIMPINAN/Permintaan Audit</x:t>
  </x:si>
  <x:si>
    <x:t xml:space="preserve">PROGRAM PENYELENGGARAAN  PENGAWASAN</x:t>
  </x:si>
  <x:si>
    <x:t xml:space="preserve">IRBAN I</x:t>
  </x:si>
  <x:si>
    <x:t xml:space="preserve">Yebrani Megasa, S.ST</x:t>
  </x:si>
  <x:si>
    <x:t xml:space="preserve"># Audit Kinerja Tema : Pelayanan Publik pada Dinas Kependudukan dan Pencatatan Sipil Kabupaten Mahakam Ulu TA 2025</x:t>
  </x:si>
  <x:si>
    <x:t xml:space="preserve">PPTK Pengawasan</x:t>
  </x:si>
  <x:si>
    <x:t xml:space="preserve">PKPT/DPA 2026</x:t>
  </x:si>
  <x:si>
    <x:t xml:space="preserve">Kelengkapan dokumen/bukti dukung belum seragam</x:t>
  </x:si>
  <x:si>
    <x:t xml:space="preserve">Koordinasi dengan objek pengawasan dan penyelesaian laporan</x:t>
  </x:si>
  <x:si>
    <x:t xml:space="preserve">Willem Hendrik Gunarso, S.Si,MAP</x:t>
  </x:si>
  <x:si>
    <x:t xml:space="preserve"># Audit Ketaatan :   (Irban I) Belanja Modal TA 2025</x:t>
  </x:si>
  <x:si>
    <x:t xml:space="preserve"># Audit Ketaatan :   (Irban II) Puskesmas Tiong Ohang TA 2024</x:t>
  </x:si>
  <x:si>
    <x:t xml:space="preserve"># Audit Ketaatan :   (Irban III) Dinas Ketahanan Pangan dan Pertanian</x:t>
  </x:si>
  <x:si>
    <x:t xml:space="preserve"># Audit Ketaatan :   (Irban I, II, III) Perjalanan Dinas Bappeda, BKPSDM, dan BPBD </x:t>
  </x:si>
  <x:si>
    <x:t xml:space="preserve"># Evaluasi SAKIP</x:t>
  </x:si>
  <x:si>
    <x:t xml:space="preserve"># Monev LHE SAKIP</x:t>
  </x:si>
  <x:si>
    <x:t xml:space="preserve"># Reviu LPPD dan LKjIP Pemda</x:t>
  </x:si>
  <x:si>
    <x:t xml:space="preserve"># Reviu SPM</x:t>
  </x:si>
  <x:si>
    <x:t xml:space="preserve"># Reviu LKPD TA 2025</x:t>
  </x:si>
  <x:si>
    <x:t xml:space="preserve"># Reviu Utang TA 2025</x:t>
  </x:si>
  <x:si>
    <x:t xml:space="preserve"># Reviu SHS TA 2026</x:t>
  </x:si>
  <x:si>
    <x:t xml:space="preserve"># Reviu RKPD TA 2027</x:t>
  </x:si>
  <x:si>
    <x:t xml:space="preserve"># Reviu RKPD Perubahan TA 2026</x:t>
  </x:si>
  <x:si>
    <x:t xml:space="preserve"># Reviu RAPBD TA 2027</x:t>
  </x:si>
  <x:si>
    <x:t xml:space="preserve"># Reviu RAPBD Perubahan TA 2026</x:t>
  </x:si>
  <x:si>
    <x:t xml:space="preserve"># Reviu Kualitas Belanja Desa Irban I</x:t>
  </x:si>
  <x:si>
    <x:t xml:space="preserve">IRBAN II</x:t>
  </x:si>
  <x:si>
    <x:t xml:space="preserve">Baru tercatat</x:t>
  </x:si>
  <x:si>
    <x:t xml:space="preserve"># Reviu Kualitas Belanja Desa Irban II</x:t>
  </x:si>
  <x:si>
    <x:t xml:space="preserve"># Reviu Kualitas Belanja Desa Irban III</x:t>
  </x:si>
  <x:si>
    <x:t xml:space="preserve"># Pendampingan Audit Interim LKPD </x:t>
  </x:si>
  <x:si>
    <x:t xml:space="preserve">Renika Astuti, SE,MAP</x:t>
  </x:si>
  <x:si>
    <x:t xml:space="preserve"># Pendampingan Audit Terinci LKPD </x:t>
  </x:si>
  <x:si>
    <x:t xml:space="preserve"># Monev TLHP Inspektorat </x:t>
  </x:si>
  <x:si>
    <x:t xml:space="preserve"># Monev TLHP BPK RI </x:t>
  </x:si>
  <x:si>
    <x:t xml:space="preserve"> Penyelenggaraan Pengawasan dengan Tujuan Tertentu</x:t>
  </x:si>
  <x:si>
    <x:t xml:space="preserve"># Pemutakhiran Data TLHP BPK RI</x:t>
  </x:si>
  <x:si>
    <x:t xml:space="preserve">IRBAN III</x:t>
  </x:si>
  <x:si>
    <x:t xml:space="preserve"># Pemutakhiran Data TLHP APIP</x:t>
  </x:si>
  <x:si>
    <x:t xml:space="preserve">Pengawasan dengan Tujuan Tertentu </x:t>
  </x:si>
  <x:si>
    <x:t xml:space="preserve"># Pemeriksaan Kas dan Persediaan (COSO)</x:t>
  </x:si>
  <x:si>
    <x:t xml:space="preserve"># Probity Audit</x:t>
  </x:si>
  <x:si>
    <x:t xml:space="preserve"># Audit AI/PKKN</x:t>
  </x:si>
  <x:si>
    <x:t xml:space="preserve"># Penilaian Mandiri atas Maturitas SPIP Terintegrasi pada Kabupaten Mahakam Ulu</x:t>
  </x:si>
  <x:si>
    <x:t xml:space="preserve"># Penjaminan Kualitas atas penilaian Mandiri Maturitas SPIP</x:t>
  </x:si>
  <x:si>
    <x:t xml:space="preserve"># Hasil Evaluasi BPKP Perwakilan Kalimantan Timur atas Maturitas SPIP Kab. Mahakam Ulu TA 2023/2024</x:t>
  </x:si>
  <x:si>
    <x:t xml:space="preserve"># Penetapan Level SPIP atas Maturitas SPIP Kab. Mahakam Ulu TA </x:t>
  </x:si>
  <x:si>
    <x:t xml:space="preserve"># Kegiatan Sosialisasi Gratifikasi</x:t>
  </x:si>
  <x:si>
    <x:t xml:space="preserve"># Kegiatan Sosialisasi Anti Korupsi (PAKSI)</x:t>
  </x:si>
  <x:si>
    <x:t xml:space="preserve"># Verifkasi Laporan Capaian MCP Perangkat Daera</x:t>
  </x:si>
  <x:si>
    <x:t xml:space="preserve">LAPORAN PEMANTAUAN OUTPUT SUB KEGIATAN -PENUNJANG</x:t>
  </x:si>
  <x:si>
    <x:t xml:space="preserve">Koordinasi dan Penyusunan Laporan Capaian Kinerja dan Ikhtisar Realisasi Kinerja SKPD</x:t>
  </x:si>
  <x:si>
    <x:t xml:space="preserve">SEKRETARIAT</x:t>
  </x:si>
  <x:si>
    <x:t xml:space="preserve">Sekretaris Inspektorat</x:t>
  </x:si>
  <x:si>
    <x:t xml:space="preserve">Penyesuaian jadwal/dokumen layanan</x:t>
  </x:si>
  <x:si>
    <x:t xml:space="preserve">Pemantauan berkala dan penjadwalan ulang</x:t>
  </x:si>
  <x:si>
    <x:t xml:space="preserve">Evaluasi Kinerja Perangkat Daerah</x:t>
  </x:si>
  <x:si>
    <x:t xml:space="preserve"> Administrasi Keuangan Perangkat Daerah</x:t>
  </x:si>
  <x:si>
    <x:t xml:space="preserve">Penyediaan Gaji dan Tunjangan ASN</x:t>
  </x:si>
  <x:si>
    <x:t xml:space="preserve">Penyediaan Administrasi Pelaksanaan Tugas ASN</x:t>
  </x:si>
  <x:si>
    <x:t xml:space="preserve">Koordinasi dan Penyusunan Laporan Keuangan Akhir Tahun SKPD</x:t>
  </x:si>
  <x:si>
    <x:t xml:space="preserve">Pendidikan dan Pelatihan Pegawai Berdasarkan Tugas dan Fungsi</x:t>
  </x:si>
  <x:si>
    <x:t xml:space="preserve">Penyediaan Barang Cetakan dan Penggandaan</x:t>
  </x:si>
  <x:si>
    <x:t xml:space="preserve">Penyediaan Bahan/Material</x:t>
  </x:si>
  <x:si>
    <x:t xml:space="preserve">Fasilitasi Kunjungan Tamu</x:t>
  </x:si>
  <x:si>
    <x:t xml:space="preserve">Penyelenggaraan Rapat Koordinasi dan Konsultasi SKPD </x:t>
  </x:si>
  <x:si>
    <x:t xml:space="preserve">Dukungan Pelaksanaan Sistem Pemerintahan Berbasis Elektronik pada SKPD</x:t>
  </x:si>
  <x:si>
    <x:t xml:space="preserve"> Pengadaan Peralatan dan Mesin Lainnya </x:t>
  </x:si>
  <x:si>
    <x:t xml:space="preserve"> Pengadaan Gedung Kantor atau Bangunan Lainnya </x:t>
  </x:si>
  <x:si>
    <x:t xml:space="preserve"> Penyediaan Jasa Surat Menyurat </x:t>
  </x:si>
  <x:si>
    <x:t xml:space="preserve"> Penyediaan Jasa Komunikasi, Sumber Daya Air dan Listrik</x:t>
  </x:si>
  <x:si>
    <x:t xml:space="preserve"> Penyediaan Jasa Pelayanan Umum Kantor </x:t>
  </x:si>
  <x:si>
    <x:t xml:space="preserve"> Pemeliharaan Barang Milik Daerah Penunjang Urusan Pemerintahan Daerah</x:t>
  </x:si>
  <x:si>
    <x:t xml:space="preserve">Penyediaan Jasa Pemeliharaan, Biaya Pemeliharaan, dan Pajak Kendaraan Perorangan Dinas atau Kendaraan Dinas Jabatan</x:t>
  </x:si>
  <x:si>
    <x:t xml:space="preserve">Pemeliharaan Peralatan dan Mesin Lainnya </x:t>
  </x:si>
  <x:si>
    <x:t xml:space="preserve">REKAPITULASI PENUGASAN PEMBINAAN DAN PENGAWASAN PERANGKAT DAERAH</x:t>
  </x:si>
  <x:si>
    <x:t xml:space="preserve">Jenis Pengawasan</x:t>
  </x:si>
  <x:si>
    <x:t xml:space="preserve">Rincian pelaksanaan pembinaan dan pengawan</x:t>
  </x:si>
  <x:si>
    <x:t xml:space="preserve">Pemantauan Realisasi</x:t>
  </x:si>
  <x:si>
    <x:t xml:space="preserve">Irban Pengampu</x:t>
  </x:si>
  <x:si>
    <x:t xml:space="preserve">Jenis Kegiatan</x:t>
  </x:si>
  <x:si>
    <x:t xml:space="preserve">Pembebanan Biaya Penugasan (Sub Kegiatan)</x:t>
  </x:si>
  <x:si>
    <x:t xml:space="preserve">Target                        Output/Satuan Hasil </x:t>
  </x:si>
  <x:si>
    <x:t xml:space="preserve">Realisasi              Output/Satuan Hasil </x:t>
  </x:si>
  <x:si>
    <x:t xml:space="preserve">Triwulan </x:t>
  </x:si>
  <x:si>
    <x:t xml:space="preserve">Ket</x:t>
  </x:si>
  <x:si>
    <x:t xml:space="preserve">I</x:t>
  </x:si>
  <x:si>
    <x:t xml:space="preserve">II</x:t>
  </x:si>
  <x:si>
    <x:t xml:space="preserve">III</x:t>
  </x:si>
  <x:si>
    <x:t xml:space="preserve">IV</x:t>
  </x:si>
  <x:si>
    <x:t xml:space="preserve">Audit Kinerja Pelayanan Publik </x:t>
  </x:si>
  <x:si>
    <x:t xml:space="preserve">Belum</x:t>
  </x:si>
  <x:si>
    <x:t xml:space="preserve">PKPT</x:t>
  </x:si>
  <x:si>
    <x:t xml:space="preserve">Audit</x:t>
  </x:si>
  <x:si>
    <x:t xml:space="preserve">Pengawasan Kinerja Pemerintah Daerah </x:t>
  </x:si>
  <x:si>
    <x:t xml:space="preserve">Laporan</x:t>
  </x:si>
  <x:si>
    <x:t xml:space="preserve">Audit Keuangan/Ketaatan</x:t>
  </x:si>
  <x:si>
    <x:t xml:space="preserve">Audit Ketaatan pada Badan Kesbangpol</x:t>
  </x:si>
  <x:si>
    <x:t xml:space="preserve">Pengawasan Keuangan Pemerintah Daerah </x:t>
  </x:si>
  <x:si>
    <x:t xml:space="preserve">Agt</x:t>
  </x:si>
  <x:si>
    <x:t xml:space="preserve">Audit Ketaatan pada BPKAD</x:t>
  </x:si>
  <x:si>
    <x:t xml:space="preserve">Februari</x:t>
  </x:si>
  <x:si>
    <x:t xml:space="preserve">Laporan/hasil penugasan dimonitor sesuai PKPT 2026.</x:t>
  </x:si>
  <x:si>
    <x:t xml:space="preserve">Audit Ketaatan pada BPBD</x:t>
  </x:si>
  <x:si>
    <x:t xml:space="preserve">Kampung Long Melaham</x:t>
  </x:si>
  <x:si>
    <x:t xml:space="preserve">Pengawasan Desa </x:t>
  </x:si>
  <x:si>
    <x:t xml:space="preserve">Kampung Tiong Bu'u</x:t>
  </x:si>
  <x:si>
    <x:t xml:space="preserve">Kampung Tiong Ohang</x:t>
  </x:si>
  <x:si>
    <x:t xml:space="preserve">Kampung Mamahak Teboq // Sirau</x:t>
  </x:si>
  <x:si>
    <x:t xml:space="preserve">PDTT</x:t>
  </x:si>
  <x:si>
    <x:t xml:space="preserve">Pengawasan Tata Kelola TI (Audit SPBE)</x:t>
  </x:si>
  <x:si>
    <x:t xml:space="preserve">Audit-PDTT</x:t>
  </x:si>
  <x:si>
    <x:t xml:space="preserve">Pengawasan dengan Tujuan Tertentu </x:t>
  </x:si>
  <x:si>
    <x:t xml:space="preserve">Pemeriksaan Cash Opname dan Stock Opname  OPD untuk TA 2025</x:t>
  </x:si>
  <x:si>
    <x:t xml:space="preserve">Sudah</x:t>
  </x:si>
  <x:si>
    <x:t xml:space="preserve">Pengawasan Lainnya</x:t>
  </x:si>
  <x:si>
    <x:t xml:space="preserve">Laporan sudah setor Bu Suting</x:t>
  </x:si>
  <x:si>
    <x:t xml:space="preserve">Probity Audit Proyek Strategis</x:t>
  </x:si>
  <x:si>
    <x:t xml:space="preserve">Audit Perjalanan Dinas </x:t>
  </x:si>
  <x:si>
    <x:t xml:space="preserve">Tindak Lanjut Pengaduan Masyarakat (Kampung Batu Majang)</x:t>
  </x:si>
  <x:si>
    <x:t xml:space="preserve">Reviu, Evaluasi dan Sosialisasi</x:t>
  </x:si>
  <x:si>
    <x:t xml:space="preserve"> Reviu RPJMD Tahun 2025-2029</x:t>
  </x:si>
  <x:si>
    <x:t xml:space="preserve">Reviu</x:t>
  </x:si>
  <x:si>
    <x:t xml:space="preserve">Januari</x:t>
  </x:si>
  <x:si>
    <x:t xml:space="preserve"> Reviu Renstra Tahun 2025-2029</x:t>
  </x:si>
  <x:si>
    <x:t xml:space="preserve">Reviu RKPD Murni TA 2027</x:t>
  </x:si>
  <x:si>
    <x:t xml:space="preserve">Juni</x:t>
  </x:si>
  <x:si>
    <x:t xml:space="preserve"> Reviu RKPD Perubahan TA 2026</x:t>
  </x:si>
  <x:si>
    <x:t xml:space="preserve">Reviu RKA-P TA 2026 // Reviu RAPBD P 2026</x:t>
  </x:si>
  <x:si>
    <x:t xml:space="preserve">Reviu RKA APBD Murni TA 2027 // RAPBD T 2027</x:t>
  </x:si>
  <x:si>
    <x:t xml:space="preserve">Reviu KUA-PPAS Murni 2027/KUA-PPAS Perubahan 2026</x:t>
  </x:si>
  <x:si>
    <x:t xml:space="preserve">DELETE //YEBRANI</x:t>
  </x:si>
  <x:si>
    <x:t xml:space="preserve">Reviu LKPD TA 2025</x:t>
  </x:si>
  <x:si>
    <x:t xml:space="preserve">Maret</x:t>
  </x:si>
  <x:si>
    <x:t xml:space="preserve">Laporan Sudah setor Bu Suting</x:t>
  </x:si>
  <x:si>
    <x:t xml:space="preserve">Reviu Utang</x:t>
  </x:si>
  <x:si>
    <x:t xml:space="preserve">Laporan berupa draft, blm berttd dan cap</x:t>
  </x:si>
  <x:si>
    <x:t xml:space="preserve">Reviu DAU</x:t>
  </x:si>
  <x:si>
    <x:t xml:space="preserve">Juli</x:t>
  </x:si>
  <x:si>
    <x:t xml:space="preserve">Laporan belum ada/blm di setor ke Bu Suting</x:t>
  </x:si>
  <x:si>
    <x:t xml:space="preserve">Reviu Standar Harga Satuan </x:t>
  </x:si>
  <x:si>
    <x:t xml:space="preserve">Evaluasi Implementasi SAKIP OPD TA 2025</x:t>
  </x:si>
  <x:si>
    <x:t xml:space="preserve">Laporan di Link Group Sakip</x:t>
  </x:si>
  <x:si>
    <x:t xml:space="preserve">Reviu dan Pendampingan Aplikasi P3DN (APIK)</x:t>
  </x:si>
  <x:si>
    <x:t xml:space="preserve">Sept</x:t>
  </x:si>
  <x:si>
    <x:t xml:space="preserve">Okt</x:t>
  </x:si>
  <x:si>
    <x:t xml:space="preserve">Nunggu BPKP // Bowo</x:t>
  </x:si>
  <x:si>
    <x:t xml:space="preserve">Reviu LPPD TA 2025</x:t>
  </x:si>
  <x:si>
    <x:t xml:space="preserve">Mei</x:t>
  </x:si>
  <x:si>
    <x:t xml:space="preserve">Nov</x:t>
  </x:si>
  <x:si>
    <x:t xml:space="preserve">Reviu SPM Triwulan I  Tahun 2026</x:t>
  </x:si>
  <x:si>
    <x:t xml:space="preserve">Laporan di Group WA SPM</x:t>
  </x:si>
  <x:si>
    <x:t xml:space="preserve">Reviu SPM Triwulan II Tahun 2026</x:t>
  </x:si>
  <x:si>
    <x:t xml:space="preserve">Sedang Berjalan</x:t>
  </x:si>
  <x:si>
    <x:t xml:space="preserve">Reviu SPM Triwulan III  Tahun 2026</x:t>
  </x:si>
  <x:si>
    <x:t xml:space="preserve">Reviu SPM Triwulan IV Tahun 2026</x:t>
  </x:si>
  <x:si>
    <x:t xml:space="preserve">PembahasanTLRHP BPK RI dan Penyelesaian Kerugian Negara/Daerah (Smt 1)</x:t>
  </x:si>
  <x:si>
    <x:t xml:space="preserve">Laporan </x:t>
  </x:si>
  <x:si>
    <x:t xml:space="preserve">PembahasanTLRHP BPK RI dan Penyelesaian Kerugian Negara/Daerah (Smt 2)</x:t>
  </x:si>
  <x:si>
    <x:t xml:space="preserve">Des</x:t>
  </x:si>
  <x:si>
    <x:t xml:space="preserve">Reviu HPS 10 Proyek Strategis </x:t>
  </x:si>
  <x:si>
    <x:t xml:space="preserve">Pengawasan dengan Tujuan Tertentu</x:t>
  </x:si>
  <x:si>
    <x:t xml:space="preserve">Laporan Masih Proses//Bowo…         Irban 1 (bren) Laporan Sudah (cek kembali)</x:t>
  </x:si>
  <x:si>
    <x:t xml:space="preserve">Evaluasi Internal Reformasi Birokrasi (TPI)</x:t>
  </x:si>
  <x:si>
    <x:t xml:space="preserve">Pendampingan, Asistensi, Verifikasi, dan Penilaian Reformasi Birokrasi </x:t>
  </x:si>
  <x:si>
    <x:t xml:space="preserve">Sosialisasi Anti Korupsi &amp; Pengendalian Gratifikasi</x:t>
  </x:si>
  <x:si>
    <x:t xml:space="preserve">Penyusunan Rencana Aksi dan Monev Tindak Lanjut Rekomendasi SPI</x:t>
  </x:si>
  <x:si>
    <x:t xml:space="preserve">Reviu AKIP Pemda</x:t>
  </x:si>
  <x:si>
    <x:t xml:space="preserve">Non-Budgeter</x:t>
  </x:si>
  <x:si>
    <x:t xml:space="preserve">Monitoring, Konsultasi, Pendampingan Audit EksternaL, Kegiatan Pengawasan Lainnya</x:t>
  </x:si>
  <x:si>
    <x:t xml:space="preserve">Monev TLHP Inspektorat (Semester I)</x:t>
  </x:si>
  <x:si>
    <x:t xml:space="preserve">Monitoring dan Evaluasi Tindak Lanjut Hasil Pemeriksaan BPK RI dan Tindak Lanjut Hasil Pemeriksaan APIP </x:t>
  </x:si>
  <x:si>
    <x:t xml:space="preserve">Monev TLHP Inspektorat (Semester II)</x:t>
  </x:si>
  <x:si>
    <x:t xml:space="preserve">Rekonsiliasi Bahan Tindak Lanjut Pra Pemutakhiran Data TLHP BPK RI</x:t>
  </x:si>
  <x:si>
    <x:t xml:space="preserve">Pendampingan Proses Audit Interim &amp; Audit Terinci BPK RI atas LKPD TA 2025</x:t>
  </x:si>
  <x:si>
    <x:t xml:space="preserve">Kerja Sama Pengawasan Internal </x:t>
  </x:si>
  <x:si>
    <x:t xml:space="preserve">April</x:t>
  </x:si>
  <x:si>
    <x:t xml:space="preserve">Pendampingan Cek Fisik dalam rangka Audit LKPD Bersama Tim BPK RI di Kecamatan</x:t>
  </x:si>
  <x:si>
    <x:t xml:space="preserve">Penyusunan Renaksi LHP dan Penyerahan LHP LKPD TA 2025</x:t>
  </x:si>
  <x:si>
    <x:t xml:space="preserve">Penilaian Mandiri Kapabilitas APIP</x:t>
  </x:si>
  <x:si>
    <x:t xml:space="preserve">Penjaminan Kualitas Kapabilitas APIP</x:t>
  </x:si>
  <x:si>
    <x:t xml:space="preserve">Monev Tindak Lanjut LHE SAKIP OPD</x:t>
  </x:si>
  <x:si>
    <x:t xml:space="preserve">FGD Aplikasi SISWASKEUDES Pengawasan Desa KEMENDAGRI</x:t>
  </x:si>
  <x:si>
    <x:t xml:space="preserve">Juli/Agt</x:t>
  </x:si>
  <x:si>
    <x:t xml:space="preserve">Nunggu Info Narsum dr BPKP //Bowo</x:t>
  </x:si>
  <x:si>
    <x:t xml:space="preserve">Kegiatan Pembangunan Zona Integritas (ZI) (Smt I)</x:t>
  </x:si>
  <x:si>
    <x:t xml:space="preserve">Hanya berupa kertas kerja (matriks progress ZI) &amp; PPT</x:t>
  </x:si>
  <x:si>
    <x:t xml:space="preserve">Kegiatan Pembangunan Zona Integritas (ZI) (Smt II)</x:t>
  </x:si>
  <x:si>
    <x:t xml:space="preserve">Pemetaan OPD yang mengintegrasikan Hasil Penilaian Risiko dalam Perencanaan Anggaran (RKA/DPA)</x:t>
  </x:si>
  <x:si>
    <x:t xml:space="preserve">Monev Tindak Lanjut Hasil Evaluasi RTP atas Risk Register OPD/Keterjadian risiko semesteran</x:t>
  </x:si>
  <x:si>
    <x:t xml:space="preserve">Evaluasi atas Penjaminan Kualitas SPIP Terintegrasi Oleh BPKP Perwakilan</x:t>
  </x:si>
  <x:si>
    <x:t xml:space="preserve">Panel SPIP Terintegrasi (SPIP, MRI dan IEPK)</x:t>
  </x:si>
  <x:si>
    <x:t xml:space="preserve">Monev Tindak Lanjut Renaksi Reformasi Birokrasi Perangkat Daerah</x:t>
  </x:si>
  <x:si>
    <x:t xml:space="preserve">Link dr Ortal</x:t>
  </x:si>
  <x:si>
    <x:t xml:space="preserve">Penjaminan Kualitas atas Penilaian Mandiri Maturitas SPIP Terintergrasi</x:t>
  </x:si>
  <x:si>
    <x:t xml:space="preserve">Pendampingan, Asistensi dan Verifikasi Penyusunan Register Risiko Perangkat Daerah</x:t>
  </x:si>
  <x:si>
    <x:t xml:space="preserve">36 Laporan</x:t>
  </x:si>
  <x:si>
    <x:t xml:space="preserve">Evaluasi RTP atas Risk Register OPD</x:t>
  </x:si>
  <x:si>
    <x:t xml:space="preserve">Monev Implementasi RTP Risiko/Pendampingan  penilaian madiri ke 28 OPD</x:t>
  </x:si>
  <x:si>
    <x:t xml:space="preserve">sudah dilaksanakan tapi baru 1 laporan yg selesai/ttd (dispapora)</x:t>
  </x:si>
  <x:si>
    <x:t xml:space="preserve">Peringatan HAKORDIA</x:t>
  </x:si>
  <x:si>
    <x:t xml:space="preserve">Rapat Koordinasi Kegiatan MCP dan SPI KPK</x:t>
  </x:si>
  <x:si>
    <x:t xml:space="preserve">Monev dan Verifikasi pelaksanaan dan pelaporan Area Intervensi Pencegahan Korupsi</x:t>
  </x:si>
  <x:si>
    <x:r>
      <x:t xml:space="preserve">Monev Reformasi Birokrasi Perangkat Daerah</x:t>
    </x:r>
    <x:r>
      <x:rPr>
        <x:i/>
        <x:sz val="12"/>
        <x:rFont val="Cambria"/>
        <x:family val="1"/>
      </x:rPr>
      <x:t xml:space="preserve"> (dlm DPA ada)</x:t>
    </x:r>
  </x:si>
  <x:si>
    <x:t xml:space="preserve">Monev Penyerapan Anggaran PBJ</x:t>
  </x:si>
  <x:si>
    <x:t xml:space="preserve">Pemberian Jasa Advisory</x:t>
  </x:si>
  <x:si>
    <x:t xml:space="preserve">Peningkatan Kapasitas SDM dan Pengawasan</x:t>
  </x:si>
  <x:si>
    <x:t xml:space="preserve">Diklat Pembentukan/Penjenjangan/Substansi Pengawasan/Diklat Tupoksi Jabatan Struktural &amp; Fungsional</x:t>
  </x:si>
  <x:si>
    <x:t xml:space="preserve">Pendidikan dan Pelatihan Pegawai Berdasarkan Tugas dan Fungsi </x:t>
  </x:si>
  <x:si>
    <x:t xml:space="preserve">Pelatihan dan Sertifikasi CGCAE (Certification of 
Goverment Chief Audit Executive) Pemda</x:t>
  </x:si>
  <x:si>
    <x:t xml:space="preserve">Manajemen Pengawasan</x:t>
  </x:si>
  <x:si>
    <x:t xml:space="preserve">Audit PBJ</x:t>
  </x:si>
  <x:si>
    <x:t xml:space="preserve">Pelatihan Creative Problem Solving</x:t>
  </x:si>
  <x:si>
    <x:t xml:space="preserve">Pelatihan Manajemen Risiko Tingkat Dasar</x:t>
  </x:si>
  <x:si>
    <x:t xml:space="preserve">Pelatihan Audit Barang/Jasa</x:t>
  </x:si>
  <x:si>
    <x:t xml:space="preserve">Penjenjangan Auditor Ahli Muda</x:t>
  </x:si>
  <x:si>
    <x:t xml:space="preserve">Pelatihan Audit Kinerja Berbasis Risiko Pemda</x:t>
  </x:si>
  <x:si>
    <x:t xml:space="preserve">Pelatihan Audit Barang Milik Daerah (BMD)</x:t>
  </x:si>
  <x:si>
    <x:t xml:space="preserve">Fraud Control Plan</x:t>
  </x:si>
  <x:si>
    <x:t xml:space="preserve">REALISASI OUTPUT PENUGASAN / SATUAN HASIL</x:t>
  </x:si>
  <x:si>
    <x:t xml:space="preserve">6.01.02.2.01 Penyelenggaraan Pengawasan Internal</x:t>
  </x:si>
  <x:si>
    <x:t xml:space="preserve"> Pengawasan Kinerja Pemerintah Daerah </x:t>
  </x:si>
  <x:si>
    <x:t xml:space="preserve"> Pengawasan Keuangan Pemerintah Daerah</x:t>
  </x:si>
  <x:si>
    <x:t xml:space="preserve">Reviu Laporan Kinerja </x:t>
  </x:si>
  <x:si>
    <x:t xml:space="preserve">Reviu Laporan Keuangan </x:t>
  </x:si>
  <x:si>
    <x:t xml:space="preserve">6.01.02.2.02 Penyelenggaraan Pengawasan dengan Tujuan Tertentu</x:t>
  </x:si>
  <x:si>
    <x:t xml:space="preserve"> Penanganan Penyelesaian Kerugian Negara/Daerah</x:t>
  </x:si>
  <x:si>
    <x:t xml:space="preserve">6.01.03.2.02 Pendampingan dan Asistensi</x:t>
  </x:si>
  <x:si>
    <x:t xml:space="preserve">LAPORAN REALISASI FISIK DAN KEUANGAN</x:t>
  </x:si>
  <x:si>
    <x:t xml:space="preserve">INSPEKTORAT KABUPATEN MAHAKAM ULU </x:t>
  </x:si>
  <x:si>
    <x:t xml:space="preserve">PERIODE : DESEMBER</x:t>
  </x:si>
  <x:si>
    <x:t xml:space="preserve">PROGRAM/KEGIATAN/SUB KEGIATAN</x:t>
  </x:si>
  <x:si>
    <x:t xml:space="preserve">ANGGARAN</x:t>
  </x:si>
  <x:si>
    <x:t xml:space="preserve">BOBOT</x:t>
  </x:si>
  <x:si>
    <x:t xml:space="preserve">REALISASI FISIK</x:t>
  </x:si>
  <x:si>
    <x:t xml:space="preserve">REALISASI KEUANGAN</x:t>
  </x:si>
  <x:si>
    <x:t xml:space="preserve">SISA DANA</x:t>
  </x:si>
  <x:si>
    <x:t xml:space="preserve">PERMASALAHAN</x:t>
  </x:si>
  <x:si>
    <x:t xml:space="preserve">FISIK</x:t>
  </x:si>
  <x:si>
    <x:t xml:space="preserve">TERTIMBANG</x:t>
  </x:si>
  <x:si>
    <x:t xml:space="preserve">KEUANGAN</x:t>
  </x:si>
  <x:si>
    <x:t xml:space="preserve">(Rp)</x:t>
  </x:si>
  <x:si>
    <x:t xml:space="preserve">(%)</x:t>
  </x:si>
  <x:si>
    <x:t xml:space="preserve">3/Total x 100</x:t>
  </x:si>
  <x:si>
    <x:t xml:space="preserve">9/4 x 100</x:t>
  </x:si>
  <x:si>
    <x:t xml:space="preserve">4 x 5/100</x:t>
  </x:si>
  <x:si>
    <x:t xml:space="preserve">7/3x100</x:t>
  </x:si>
  <x:si>
    <x:t xml:space="preserve">8x4/100</x:t>
  </x:si>
  <x:si>
    <x:t xml:space="preserve">3-7</x:t>
  </x:si>
  <x:si>
    <x:t xml:space="preserve">INSPEKTORAT</x:t>
  </x:si>
  <x:si>
    <x:t xml:space="preserve">Terkendali; pelaksanaan mengikuti PKPT/DPA</x:t>
  </x:si>
  <x:si>
    <x:t xml:space="preserve">1</x:t>
  </x:si>
  <x:si>
    <x:t xml:space="preserve">Pelaksanaan sesuai rencana kerja</x:t>
  </x:si>
  <x:si>
    <x:t xml:space="preserve">Fasilitas Kunjungan Tamu</x:t>
  </x:si>
  <x:si>
    <x:t xml:space="preserve">Penyelenggaraan Rapat Koordinasi dan Konsultasi SKPD</x:t>
  </x:si>
  <x:si>
    <x:t xml:space="preserve">Penyediaan Jasa Surat Menyurat</x:t>
  </x:si>
  <x:si>
    <x:t xml:space="preserve">Penyediaan Jasa Komunikasi, Sumber Daya Air dan Listrik</x:t>
  </x:si>
  <x:si>
    <x:t xml:space="preserve">Penyediaan Jasa Pelayanan Umum Kantor</x:t>
  </x:si>
  <x:si>
    <x:t xml:space="preserve">Penyediaan Jasa Pemeliharaan, Biaya Pemeliharaan, dan Pajak Kendaraan Perorangan Dinas Atau Kendaraan Dinas Jabatan</x:t>
  </x:si>
  <x:si>
    <x:t xml:space="preserve">Tidak dialokasikan dalam pagu program</x:t>
  </x:si>
  <x:si>
    <x:t xml:space="preserve">Pelaksanaan pengawasan sesuai PKPT</x:t>
  </x:si>
  <x:si>
    <x:t xml:space="preserve">Koordinasi dengan objek pengawasan</x:t>
  </x:si>
  <x:si>
    <x:t xml:space="preserve">Monitoring dan Evaluasi Tindak Lanjut Hasil Pemeriksaan BPK RI dan APIP</x:t>
  </x:si>
  <x:si>
    <x:t xml:space="preserve">Pendampingan, Asistensi dan Penilaian Reformasi Birokrasi</x:t>
  </x:si>
  <x:si>
    <x:t xml:space="preserve">Pencegahan dan Pemberantasan Korupsi</x:t>
  </x:si>
  <x:si>
    <x:t xml:space="preserve">Penegakan Integritas</x:t>
  </x:si>
  <x:si>
    <x:t xml:space="preserve">Pendampingan dan asistensi berjalan</x:t>
  </x:si>
  <x:si>
    <x:t xml:space="preserve">Penyelesaian bukti dukung dan laporan</x:t>
  </x:si>
  <x:si>
    <x:t xml:space="preserve">JUMLAH BELANJA</x:t>
  </x:si>
  <x:si>
    <x:t xml:space="preserve">Ujoh Bilang,  …......................................</x:t>
  </x:si>
  <x:si>
    <x:t xml:space="preserve">Kuasa Pengguna Anggaran/Kuasa Pengguna Barang</x:t>
  </x:si>
  <x:si>
    <x:t xml:space="preserve">Bendahara Pengeluaran,</x:t>
  </x:si>
  <x:si>
    <x:t xml:space="preserve">Inspektorat Kabupaten Mahakam Ulu,</x:t>
  </x:si>
  <x:si>
    <x:t xml:space="preserve">….............................</x:t>
  </x:si>
  <x:si>
    <x:t xml:space="preserve">NIP.</x:t>
  </x:si>
</x:sst>
</file>

<file path=xl/styles.xml><?xml version="1.0" encoding="utf-8"?>
<x:styleSheet xmlns:x="http://schemas.openxmlformats.org/spreadsheetml/2006/main">
  <x:numFmts count="13">
    <x:numFmt numFmtId="41" formatCode="_-* #,##0_-;\-* #,##0_-;_-* &quot;-&quot;_-;_-@_-"/>
    <x:numFmt numFmtId="164" formatCode="_(* #,##0_);_(* \(#,##0\);_(* &quot;-&quot;_);_(@_)"/>
    <x:numFmt numFmtId="165" formatCode="_(* #,##0.00_);_(* \(#,##0.00\);_(* &quot;-&quot;??_);_(@_)"/>
    <x:numFmt numFmtId="166" formatCode="#,##0.000"/>
    <x:numFmt numFmtId="167" formatCode="0.000"/>
    <x:numFmt numFmtId="168" formatCode="_(* #,##0_);_(* \(#,##0\);_(* &quot;-&quot;??_);_(@_)"/>
    <x:numFmt numFmtId="169" formatCode="_ * #,##0.00_ ;_ * \-#,##0.00_ ;_ * &quot;-&quot;??_ ;_ @_ "/>
    <x:numFmt numFmtId="170" formatCode="0.00_ "/>
    <x:numFmt numFmtId="171" formatCode="_ * #,##0.00_ ;_ * \-#,##0.00_ ;_ * &quot;-&quot;??.00_ ;_ @_ "/>
    <x:numFmt numFmtId="172" formatCode="_ * #,##0_ ;_ * \-#,##0_ ;_ * &quot;-&quot;??_ ;_ @_ "/>
    <x:numFmt numFmtId="200" formatCode="0.00%"/>
    <x:numFmt numFmtId="201" formatCode="0.00"/>
    <x:numFmt numFmtId="202" formatCode="#,##0"/>
  </x:numFmts>
  <x:fonts count="87">
    <x:font>
      <x:sz val="11"/>
      <x:color rgb="FF000000"/>
      <x:name val="Calibri"/>
    </x:font>
    <x:font>
      <x:sz val="11"/>
      <x:color theme="1"/>
      <x:name val="Calibri"/>
    </x:font>
    <x:font>
      <x:sz val="12"/>
      <x:color rgb="FF000000"/>
      <x:name val="Calibri"/>
    </x:font>
    <x:font>
      <x:sz val="12"/>
      <x:color rgb="FF000000"/>
      <x:name val="Arial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rgb="FF000000"/>
      <x:name val="Calibri"/>
    </x:font>
    <x:font>
      <x:sz val="11"/>
      <x:name val="Calibri"/>
    </x:font>
    <x:font>
      <x:sz val="11"/>
      <x:color rgb="FF000000"/>
      <x:name val="Arial"/>
    </x:font>
    <x:font>
      <x:sz val="10"/>
      <x:color rgb="FF000000"/>
      <x:name val="Calibri"/>
    </x:font>
    <x:font>
      <x:i/>
      <x:sz val="10"/>
      <x:color rgb="FF000000"/>
      <x:name val="Calibri"/>
    </x:font>
    <x:font>
      <x:sz val="11"/>
      <x:color theme="1"/>
      <x:name val="Arial"/>
    </x:font>
    <x:font>
      <x:i/>
      <x:sz val="12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Arial"/>
    </x:font>
    <x:font>
      <x:b/>
      <x:sz val="12"/>
      <x:color rgb="FF000000"/>
      <x:name val="Calibri"/>
    </x:font>
    <x:font>
      <x:sz val="11"/>
      <x:color rgb="FF000000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sz val="5"/>
      <x:color rgb="FF009EF7"/>
      <x:name val="Roboto"/>
    </x:font>
    <x:font>
      <x:b/>
      <x:sz val="8"/>
      <x:color rgb="FF000000"/>
      <x:name val="Calibri"/>
    </x:font>
    <x:font>
      <x:b/>
      <x:sz val="12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10"/>
      <x:color rgb="FF000000"/>
      <x:name val="__Poppins_66bfb7"/>
    </x:font>
    <x:font>
      <x:sz val="7"/>
      <x:color theme="1"/>
      <x:name val="Calibri"/>
    </x:font>
    <x:font>
      <x:sz val="9"/>
      <x:name val="Calibri"/>
    </x:font>
    <x:font>
      <x:sz val="10"/>
      <x:color theme="1"/>
      <x:name val="Calibri"/>
    </x:font>
    <x:font>
      <x:sz val="9"/>
      <x:color rgb="FF000000"/>
      <x:name val="__Poppins_66bfb7"/>
    </x:font>
    <x:font>
      <x:sz val="6"/>
      <x:color theme="1"/>
      <x:name val="Calibri"/>
    </x:font>
    <x:font>
      <x:sz val="8"/>
      <x:color rgb="FF000000"/>
      <x:name val="__Poppins_66bfb7"/>
    </x:font>
    <x:font>
      <x:sz val="12"/>
      <x:color theme="1"/>
      <x:name val="Calibri"/>
    </x:font>
    <x:font>
      <x:sz val="12"/>
      <x:name val="Calibri"/>
    </x:font>
    <x:font>
      <x:sz val="16"/>
      <x:color theme="1"/>
      <x:name val="Calibri"/>
    </x:font>
    <x:font>
      <x:b/>
      <x:sz val="12"/>
      <x:color theme="1"/>
      <x:name val="Calibri"/>
    </x:font>
    <x:font>
      <x:b/>
      <x:sz val="12"/>
      <x:name val="Calibri"/>
    </x:font>
    <x:font>
      <x:b/>
      <x:sz val="11"/>
      <x:color theme="1"/>
      <x:name val="Calibri"/>
    </x:font>
    <x:font>
      <x:sz val="10"/>
      <x:color theme="1"/>
      <x:name val="Segoe UI"/>
    </x:font>
    <x:font>
      <x:sz val="10"/>
      <x:name val="Segoe UI"/>
    </x:font>
    <x:font>
      <x:sz val="11"/>
      <x:color theme="1"/>
      <x:name val="Calibri"/>
    </x:font>
    <x:font>
      <x:b/>
      <x:sz val="11"/>
      <x:color theme="1"/>
      <x:name val="Arial Narrow"/>
    </x:font>
    <x:font>
      <x:sz val="10"/>
      <x:color rgb="FF000000"/>
      <x:name val="Times New Roman"/>
    </x:font>
    <x:font>
      <x:sz val="7"/>
      <x:color rgb="FF000000"/>
      <x:name val="Arial Narrow"/>
    </x:font>
    <x:font>
      <x:b/>
      <x:sz val="7"/>
      <x:color rgb="FF000000"/>
      <x:name val="Arial Narrow"/>
    </x:font>
    <x:font>
      <x:sz val="6"/>
      <x:color rgb="FF000000"/>
      <x:name val="__Poppins_66bfb7"/>
    </x:font>
    <x:font>
      <x:b/>
      <x:sz val="11"/>
      <x:color rgb="FF000000"/>
      <x:name val="Calibri"/>
    </x:font>
    <x:font>
      <x:b/>
      <x:sz val="14"/>
      <x:color rgb="FF000000"/>
      <x:name val="Calibri"/>
    </x:font>
    <x:font>
      <x:sz val="16"/>
      <x:name val="Calibri"/>
    </x:font>
    <x:font>
      <x:b/>
      <x:sz val="16"/>
      <x:name val="Calibri"/>
    </x:font>
    <x:font>
      <x:b/>
      <x:sz val="16"/>
      <x:color theme="1"/>
      <x:name val="Calibri"/>
    </x:font>
    <x:font>
      <x:b/>
      <x:sz val="12"/>
      <x:color theme="1"/>
      <x:name val="Cambria"/>
    </x:font>
    <x:font>
      <x:sz val="12"/>
      <x:color theme="1"/>
      <x:name val="Cambria"/>
    </x:font>
    <x:font>
      <x:b/>
      <x:sz val="11"/>
      <x:name val="Cambria"/>
    </x:font>
    <x:font>
      <x:i/>
      <x:sz val="12"/>
      <x:color theme="1"/>
      <x:name val="Cambria"/>
    </x:font>
    <x:font>
      <x:sz val="12"/>
      <x:name val="Cambria"/>
    </x:font>
    <x:font>
      <x:b/>
      <x:sz val="12"/>
      <x:name val="Cambria"/>
    </x:font>
    <x:font>
      <x:sz val="12"/>
      <x:color rgb="FFFF0000"/>
      <x:name val="Cambria"/>
    </x:font>
    <x:font>
      <x:b/>
      <x:sz val="11"/>
      <x:color rgb="FFFF0000"/>
      <x:name val="Cambria"/>
    </x:font>
    <x:font>
      <x:i/>
      <x:sz val="12"/>
      <x:name val="Cambria"/>
    </x:font>
    <x:font>
      <x:sz val="11"/>
      <x:color theme="1"/>
      <x:name val="Cambria"/>
    </x:font>
    <x:font>
      <x:sz val="10"/>
      <x:color theme="1"/>
      <x:name val="Cambria"/>
    </x:font>
    <x:font>
      <x:sz val="12"/>
      <x:color theme="1"/>
      <x:name val="Times New Roman"/>
    </x:font>
    <x:font>
      <x:sz val="12"/>
      <x:name val="Times New Roman"/>
    </x:font>
    <x:font>
      <x:sz val="11"/>
      <x:name val="Cambria"/>
    </x:font>
    <x:font>
      <x:b/>
      <x:sz val="10"/>
      <x:name val="Cambria"/>
    </x:font>
    <x:font>
      <x:sz val="10"/>
      <x:name val="Cambria"/>
    </x:font>
    <x:font>
      <x:b/>
      <x:sz val="10"/>
      <x:color indexed="8"/>
      <x:name val="Cambria"/>
    </x:font>
    <x:font>
      <x:sz val="11"/>
      <x:color indexed="8"/>
      <x:name val="Calibri"/>
    </x:font>
    <x:font>
      <x:sz val="10"/>
      <x:color indexed="8"/>
      <x:name val="Cambria"/>
    </x:font>
    <x:font>
      <x:sz val="10"/>
      <x:color indexed="0"/>
      <x:name val="Cambria"/>
    </x:font>
    <x:font>
      <x:sz val="6"/>
      <x:color indexed="0"/>
      <x:name val="Tahoma"/>
    </x:font>
    <x:font>
      <x:b/>
      <x:sz val="10"/>
      <x:name val="Cambria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7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theme="9" tint="0.79995"/>
      </x:patternFill>
    </x:fill>
    <x:fill>
      <x:patternFill patternType="solid">
        <x:fgColor rgb="FFFFFFFF"/>
      </x:patternFill>
    </x:fill>
    <x:fill>
      <x:patternFill patternType="lightTrellis">
        <x:fgColor rgb="FF000000"/>
        <x:bgColor rgb="FFBFBFBF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  <x:fill>
      <x:patternFill patternType="solid">
        <x:fgColor theme="5" tint="0.79995"/>
      </x:patternFill>
    </x:fill>
    <x:fill>
      <x:patternFill patternType="solid">
        <x:fgColor theme="4" tint="0.59996"/>
      </x:patternFill>
    </x:fill>
    <x:fill>
      <x:patternFill patternType="solid">
        <x:fgColor theme="2" tint="-0.09998"/>
      </x:patternFill>
    </x:fill>
  </x:fills>
  <x:borders count="153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top style="double">
        <x:color rgb="FF000000"/>
      </x:top>
      <x:bottom style="double">
        <x:color rgb="FF000000"/>
      </x:bottom>
    </x:border>
    <x:border/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</x:border>
    <x:border>
      <x:left style="thin">
        <x:color indexed="64"/>
      </x:left>
      <x:right style="thin">
        <x:color rgb="FF000000"/>
      </x:right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rgb="FF000000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bottom style="mediumDashed">
        <x:color indexed="64"/>
      </x:bottom>
    </x:border>
    <x:border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Dashed">
        <x:color indexed="64"/>
      </x:top>
    </x:border>
    <x:border>
      <x:right style="medium">
        <x:color indexed="64"/>
      </x:right>
      <x:top style="mediumDashed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Dash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rgb="FF000000"/>
      </x:top>
    </x:border>
    <x:border>
      <x:left style="medium">
        <x:color indexed="64"/>
      </x:left>
      <x:right style="medium">
        <x:color indexed="64"/>
      </x:right>
      <x:bottom style="mediumDashed">
        <x:color indexed="64"/>
      </x:bottom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bottom style="medium">
        <x:color rgb="FF000000"/>
      </x:bottom>
      <x:diagonal style="medium">
        <x:color indexed="64"/>
      </x:diagonal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diagonal style="medium">
        <x:color indexed="64"/>
      </x:diagonal>
    </x:border>
    <x:border diagonalDown="1">
      <x:right style="medium">
        <x:color indexed="64"/>
      </x:right>
      <x:top style="medium">
        <x:color rgb="FF000000"/>
      </x:top>
      <x:diagonal style="medium">
        <x:color indexed="64"/>
      </x:diagonal>
    </x:border>
    <x:border>
      <x:right style="medium">
        <x:color indexed="64"/>
      </x:right>
      <x:top style="medium">
        <x:color indexed="64"/>
      </x:top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rgb="FF000000"/>
      </x:bottom>
    </x:border>
    <x:border>
      <x:left style="medium">
        <x:color indexed="64"/>
      </x:left>
      <x:top style="medium">
        <x:color rgb="FF000000"/>
      </x:top>
    </x:border>
    <x:border>
      <x:left style="medium">
        <x:color indexed="64"/>
      </x:left>
      <x:bottom style="medium">
        <x:color indexed="64"/>
      </x:bottom>
    </x:border>
    <x:border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auto="1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top style="thin">
        <x:color rgb="FF000000"/>
      </x:top>
      <x:bottom style="thin">
        <x:color rgb="FF000000"/>
      </x:bottom>
    </x:border>
    <x:border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indexed="64"/>
      </x:right>
    </x:border>
    <x:border>
      <x:left style="thin">
        <x:color indexed="64"/>
      </x:left>
      <x:right style="thin">
        <x:color rgb="FF000000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right style="medium">
        <x:color indexed="64"/>
      </x:right>
      <x:bottom style="mediumDashed">
        <x:color indexed="64"/>
      </x:bottom>
    </x:border>
    <x:border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Dashed">
        <x:color indexed="64"/>
      </x:top>
    </x:border>
    <x:border>
      <x:right style="medium">
        <x:color indexed="64"/>
      </x:right>
      <x:top style="mediumDashed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Dashed">
        <x:color indexed="64"/>
      </x:top>
      <x:bottom style="medium">
        <x:color indexed="64"/>
      </x:bottom>
    </x:border>
    <x:border>
      <x:top style="medium">
        <x:color indexed="64"/>
      </x:top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diagonal style="medium">
        <x:color indexed="64"/>
      </x:diagonal>
    </x:border>
    <x:border diagonalDown="1">
      <x:right style="medium">
        <x:color indexed="64"/>
      </x:right>
      <x:top style="medium">
        <x:color rgb="FF000000"/>
      </x:top>
      <x:diagonal style="medium">
        <x:color indexed="64"/>
      </x:diagonal>
    </x:border>
    <x:border>
      <x:right style="medium">
        <x:color indexed="64"/>
      </x:right>
      <x:top style="medium">
        <x:color indexed="64"/>
      </x:top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left style="medium">
        <x:color indexed="64"/>
      </x:left>
      <x:top style="medium">
        <x:color rgb="FF000000"/>
      </x:top>
    </x:border>
    <x:border>
      <x:left style="medium">
        <x:color indexed="64"/>
      </x:left>
      <x:bottom style="medium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>
      <x:left style="thin">
        <x:color auto="1"/>
      </x:left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</x:border>
    <x:border>
      <x:left style="medium">
        <x:color indexed="64"/>
      </x:left>
      <x:right style="medium">
        <x:color indexed="64"/>
      </x:right>
      <x:bottom style="medium">
        <x:color rgb="FF000000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rgb="FF000000"/>
      </x:top>
    </x:border>
    <x:border>
      <x:left style="medium">
        <x:color indexed="64"/>
      </x:left>
      <x:right style="medium">
        <x:color indexed="64"/>
      </x:right>
      <x:bottom style="mediumDashed">
        <x:color indexed="64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</x:borders>
  <x:cellStyleXfs count="13">
    <x:xf numFmtId="0" fontId="0" fillId="0" borderId="0"/>
    <x:xf numFmtId="165" fontId="16" fillId="0" borderId="0" applyFont="0" applyFill="0" applyBorder="0" applyAlignment="0" applyProtection="0"/>
    <x:xf numFmtId="0" fontId="1" fillId="0" borderId="16"/>
    <x:xf numFmtId="165" fontId="1" fillId="0" borderId="16" applyFont="0" applyFill="0" applyBorder="0" applyAlignment="0" applyProtection="0"/>
    <x:xf numFmtId="0" fontId="1" fillId="0" borderId="16"/>
    <x:xf numFmtId="0" fontId="54" fillId="0" borderId="16"/>
    <x:xf numFmtId="9" fontId="1" fillId="0" borderId="16" applyFont="0" applyFill="0" applyBorder="0" applyAlignment="0" applyProtection="0">
      <x:alignment vertical="center"/>
    </x:xf>
    <x:xf numFmtId="164" fontId="1" fillId="0" borderId="16" applyFont="0" applyFill="0" applyBorder="0" applyAlignment="0" applyProtection="0"/>
    <x:xf numFmtId="164" fontId="1" fillId="0" borderId="16" applyFont="0" applyFill="0" applyBorder="0" applyAlignment="0" applyProtection="0"/>
    <x:xf numFmtId="0" fontId="1" fillId="0" borderId="16"/>
    <x:xf numFmtId="0" fontId="77" fillId="0" borderId="16">
      <x:alignment vertical="center"/>
    </x:xf>
    <x:xf numFmtId="169" fontId="77" fillId="0" borderId="16" applyFont="0" applyFill="0" applyBorder="0" applyAlignment="0" applyProtection="0">
      <x:alignment vertical="center"/>
    </x:xf>
    <x:xf numFmtId="0" fontId="82" fillId="0" borderId="16">
      <x:alignment vertical="center"/>
    </x:xf>
  </x:cellStyleXfs>
  <x:cellXfs count="1541">
    <x:xf numFmtId="0" fontId="0" fillId="0" borderId="0" xfId="0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6" fillId="0" borderId="4" xfId="0" applyFont="1" applyBorder="1" applyAlignment="1">
      <x:alignment horizontal="center" vertical="top"/>
    </x:xf>
    <x:xf numFmtId="0" fontId="8" fillId="0" borderId="4" xfId="0" applyFont="1" applyBorder="1" applyAlignment="1">
      <x:alignment vertical="top" wrapText="1"/>
    </x:xf>
    <x:xf numFmtId="0" fontId="8" fillId="0" borderId="4" xfId="0" applyFont="1" applyBorder="1" applyAlignment="1">
      <x:alignment wrapText="1"/>
    </x:xf>
    <x:xf numFmtId="1" fontId="6" fillId="0" borderId="4" xfId="0" applyNumberFormat="1" applyFont="1" applyBorder="1" applyAlignment="1">
      <x:alignment horizontal="center" vertical="top"/>
    </x:xf>
    <x:xf numFmtId="0" fontId="9" fillId="0" borderId="0" xfId="0" applyFont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/>
    </x:xf>
    <x:xf numFmtId="1" fontId="8" fillId="0" borderId="4" xfId="0" applyNumberFormat="1" applyFont="1" applyBorder="1" applyAlignment="1">
      <x:alignment horizontal="center" vertical="top"/>
    </x:xf>
    <x:xf numFmtId="0" fontId="3" fillId="0" borderId="4" xfId="0" applyFont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5" fillId="0" borderId="12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left" vertical="top"/>
    </x:xf>
    <x:xf numFmtId="0" fontId="5" fillId="0" borderId="12" xfId="0" applyFont="1" applyBorder="1" applyAlignment="1">
      <x:alignment horizontal="left" vertical="top" wrapText="1"/>
    </x:xf>
    <x:xf numFmtId="0" fontId="13" fillId="0" borderId="13" xfId="0" applyFont="1" applyBorder="1" applyAlignment="1">
      <x:alignment horizontal="left" vertical="top"/>
    </x:xf>
    <x:xf numFmtId="0" fontId="5" fillId="0" borderId="13" xfId="0" applyFont="1" applyBorder="1" applyAlignment="1">
      <x:alignment horizontal="center" vertical="top"/>
    </x:xf>
    <x:xf numFmtId="0" fontId="5" fillId="0" borderId="12" xfId="0" applyFont="1" applyBorder="1" applyAlignment="1">
      <x:alignment horizontal="center" vertical="top"/>
    </x:xf>
    <x:xf numFmtId="0" fontId="2" fillId="0" borderId="12" xfId="0" applyFont="1" applyBorder="1" applyAlignment="1">
      <x:alignment horizontal="center" vertical="center"/>
    </x:xf>
    <x:xf numFmtId="168" fontId="2" fillId="0" borderId="12" xfId="0" applyNumberFormat="1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left" vertical="top"/>
    </x:xf>
    <x:xf numFmtId="0" fontId="2" fillId="0" borderId="9" xfId="0" applyFont="1" applyBorder="1" applyAlignment="1">
      <x:alignment horizontal="left" vertical="center" wrapText="1"/>
    </x:xf>
    <x:xf numFmtId="0" fontId="9" fillId="0" borderId="9" xfId="0" applyFont="1" applyBorder="1" applyAlignment="1">
      <x:alignment horizontal="left" vertical="center"/>
    </x:xf>
    <x:xf numFmtId="0" fontId="2" fillId="0" borderId="9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/>
    </x:xf>
    <x:xf numFmtId="0" fontId="2" fillId="0" borderId="6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6" xfId="0" applyFont="1" applyBorder="1" applyAlignment="1">
      <x:alignment horizontal="center" vertical="top"/>
    </x:xf>
    <x:xf numFmtId="0" fontId="2" fillId="0" borderId="1" xfId="0" applyFont="1" applyBorder="1" applyAlignment="1">
      <x:alignment horizontal="center" vertical="top"/>
    </x:xf>
    <x:xf numFmtId="0" fontId="5" fillId="0" borderId="1" xfId="0" applyFont="1" applyBorder="1" applyAlignment="1">
      <x:alignment horizontal="left" vertical="top"/>
    </x:xf>
    <x:xf numFmtId="0" fontId="5" fillId="0" borderId="6" xfId="0" applyFont="1" applyBorder="1" applyAlignment="1">
      <x:alignment horizontal="left" vertical="top" wrapText="1"/>
    </x:xf>
    <x:xf numFmtId="0" fontId="13" fillId="0" borderId="6" xfId="0" applyFont="1" applyBorder="1" applyAlignment="1">
      <x:alignment horizontal="left" vertical="center" wrapText="1"/>
    </x:xf>
    <x:xf numFmtId="0" fontId="5" fillId="0" borderId="6" xfId="0" applyFont="1" applyBorder="1" applyAlignment="1">
      <x:alignment horizontal="center" vertical="top"/>
    </x:xf>
    <x:xf numFmtId="0" fontId="13" fillId="0" borderId="13" xfId="0" applyFont="1" applyBorder="1" applyAlignment="1">
      <x:alignment horizontal="left" vertical="center" wrapText="1"/>
    </x:xf>
    <x:xf numFmtId="0" fontId="2" fillId="0" borderId="9" xfId="0" applyFont="1" applyBorder="1" applyAlignment="1">
      <x:alignment horizontal="left" vertical="top" wrapText="1"/>
    </x:xf>
    <x:xf numFmtId="0" fontId="2" fillId="0" borderId="5" xfId="0" applyFont="1" applyBorder="1" applyAlignment="1">
      <x:alignment vertical="center"/>
    </x:xf>
    <x:xf numFmtId="0" fontId="2" fillId="0" borderId="4" xfId="0" applyFont="1" applyBorder="1" applyAlignment="1">
      <x:alignment horizontal="left" vertical="top"/>
    </x:xf>
    <x:xf numFmtId="0" fontId="2" fillId="0" borderId="2" xfId="0" applyFont="1" applyBorder="1" applyAlignment="1">
      <x:alignment horizontal="left" vertical="top" wrapText="1"/>
    </x:xf>
    <x:xf numFmtId="0" fontId="9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0" fontId="5" fillId="0" borderId="1" xfId="0" applyFont="1" applyBorder="1" applyAlignment="1">
      <x:alignment vertical="center"/>
    </x:xf>
    <x:xf numFmtId="0" fontId="2" fillId="0" borderId="5" xfId="0" applyFont="1" applyBorder="1" applyAlignment="1">
      <x:alignment horizontal="left" vertical="top" wrapText="1"/>
    </x:xf>
    <x:xf numFmtId="0" fontId="5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left" vertical="top" wrapText="1"/>
    </x:xf>
    <x:xf numFmtId="0" fontId="2" fillId="0" borderId="2" xfId="0" applyFont="1" applyBorder="1" applyAlignment="1">
      <x:alignment horizontal="center" vertical="top"/>
    </x:xf>
    <x:xf numFmtId="0" fontId="2" fillId="0" borderId="4" xfId="0" applyFont="1" applyBorder="1" applyAlignment="1">
      <x:alignment horizontal="center" vertical="top"/>
    </x:xf>
    <x:xf numFmtId="0" fontId="2" fillId="0" borderId="5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center"/>
    </x:xf>
    <x:xf numFmtId="0" fontId="2" fillId="0" borderId="4" xfId="0" applyFont="1" applyBorder="1" applyAlignment="1">
      <x:alignment horizontal="left" vertical="center"/>
    </x:xf>
    <x:xf numFmtId="0" fontId="14" fillId="2" borderId="4" xfId="0" applyFont="1" applyFill="1" applyBorder="1" applyAlignment="1">
      <x:alignment vertical="center"/>
    </x:xf>
    <x:xf numFmtId="0" fontId="2" fillId="0" borderId="9" xfId="0" applyFont="1" applyBorder="1" applyAlignment="1">
      <x:alignment horizontal="left" vertical="top"/>
    </x:xf>
    <x:xf numFmtId="0" fontId="9" fillId="0" borderId="5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top"/>
    </x:xf>
    <x:xf numFmtId="0" fontId="9" fillId="0" borderId="4" xfId="0" applyFont="1" applyBorder="1" applyAlignment="1">
      <x:alignment horizontal="left" vertical="center"/>
    </x:xf>
    <x:xf numFmtId="0" fontId="5" fillId="0" borderId="9" xfId="0" applyFont="1" applyBorder="1" applyAlignment="1">
      <x:alignment horizontal="left" vertical="center" wrapText="1"/>
    </x:xf>
    <x:xf numFmtId="0" fontId="2" fillId="0" borderId="2" xfId="0" applyFont="1" applyBorder="1" applyAlignment="1">
      <x:alignment horizontal="left" vertical="center" wrapText="1"/>
    </x:xf>
    <x:xf numFmtId="0" fontId="5" fillId="0" borderId="13" xfId="0" applyFont="1" applyBorder="1" applyAlignment="1">
      <x:alignment horizontal="center" vertical="top" wrapText="1"/>
    </x:xf>
    <x:xf numFmtId="0" fontId="9" fillId="0" borderId="6" xfId="0" applyFont="1" applyBorder="1" applyAlignment="1">
      <x:alignment horizontal="left" vertical="top"/>
    </x:xf>
    <x:xf numFmtId="0" fontId="5" fillId="0" borderId="13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15" fillId="0" borderId="0" xfId="0" applyFont="1" applyAlignment="1">
      <x:alignment horizontal="center" vertical="center"/>
    </x:xf>
    <x:xf numFmtId="168" fontId="5" fillId="0" borderId="0" xfId="0" applyNumberFormat="1" applyFont="1" applyAlignment="1">
      <x:alignment horizontal="center" vertical="center"/>
    </x:xf>
    <x:xf numFmtId="168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9" fontId="6" fillId="0" borderId="4" xfId="0" applyNumberFormat="1" applyFont="1" applyBorder="1" applyAlignment="1">
      <x:alignment horizontal="center" vertical="top"/>
    </x:xf>
    <x:xf numFmtId="9" fontId="6" fillId="0" borderId="4" xfId="0" applyNumberFormat="1" applyFont="1" applyBorder="1" applyAlignment="1">
      <x:alignment horizontal="center" vertical="top" wrapText="1"/>
    </x:xf>
    <x:xf numFmtId="167" fontId="6" fillId="0" borderId="4" xfId="0" applyNumberFormat="1" applyFont="1" applyBorder="1" applyAlignment="1">
      <x:alignment horizontal="center" vertical="top"/>
    </x:xf>
    <x:xf numFmtId="166" fontId="6" fillId="0" borderId="4" xfId="0" applyNumberFormat="1" applyFont="1" applyBorder="1" applyAlignment="1">
      <x:alignment horizontal="center" vertical="top"/>
    </x:xf>
    <x:xf numFmtId="167" fontId="8" fillId="0" borderId="4" xfId="0" applyNumberFormat="1" applyFont="1" applyBorder="1" applyAlignment="1">
      <x:alignment horizontal="center" vertical="top"/>
    </x:xf>
    <x:xf numFmtId="166" fontId="11" fillId="0" borderId="0" xfId="0" applyNumberFormat="1" applyFont="1" applyAlignment="1">
      <x:alignment horizontal="center" vertical="top"/>
    </x:xf>
    <x:xf numFmtId="166" fontId="11" fillId="0" borderId="10" xfId="0" applyNumberFormat="1" applyFont="1" applyBorder="1" applyAlignment="1">
      <x:alignment horizontal="center" vertical="center"/>
    </x:xf>
    <x:xf numFmtId="0" fontId="2" fillId="0" borderId="4" xfId="0" applyFont="1" applyBorder="1" applyAlignment="1">
      <x:alignment vertical="top"/>
    </x:xf>
    <x:xf numFmtId="0" fontId="11" fillId="0" borderId="0" xfId="0" applyFont="1" applyAlignment="1">
      <x:alignment vertical="top"/>
    </x:xf>
    <x:xf numFmtId="0" fontId="11" fillId="0" borderId="10" xfId="0" applyFont="1" applyBorder="1" applyAlignment="1">
      <x:alignment vertical="top"/>
    </x:xf>
    <x:xf numFmtId="0" fontId="0" fillId="0" borderId="4" xfId="0" applyBorder="1" applyAlignment="1">
      <x:alignment vertical="center"/>
    </x:xf>
    <x:xf numFmtId="0" fontId="0" fillId="0" borderId="0" xfId="0" applyAlignment="1">
      <x:alignment horizontal="center" vertical="top"/>
    </x:xf>
    <x:xf numFmtId="0" fontId="25" fillId="0" borderId="0" xfId="0" applyFont="1" applyAlignment="1">
      <x:alignment horizontal="center" vertical="top"/>
    </x:xf>
    <x:xf numFmtId="0" fontId="25" fillId="0" borderId="0" xfId="0" applyFont="1" applyAlignment="1">
      <x:alignment vertical="center"/>
    </x:xf>
    <x:xf numFmtId="0" fontId="25" fillId="0" borderId="4" xfId="0" applyFont="1" applyBorder="1" applyAlignment="1">
      <x:alignment horizontal="center" vertical="top"/>
    </x:xf>
    <x:xf numFmtId="0" fontId="22" fillId="0" borderId="4" xfId="0" applyFont="1" applyBorder="1" applyAlignment="1">
      <x:alignment vertical="top" wrapText="1"/>
    </x:xf>
    <x:xf numFmtId="9" fontId="21" fillId="0" borderId="4" xfId="0" applyNumberFormat="1" applyFont="1" applyBorder="1" applyAlignment="1">
      <x:alignment horizontal="center" vertical="top" wrapText="1"/>
    </x:xf>
    <x:xf numFmtId="9" fontId="22" fillId="0" borderId="4" xfId="0" applyNumberFormat="1" applyFont="1" applyBorder="1" applyAlignment="1">
      <x:alignment horizontal="center" vertical="top" wrapText="1"/>
    </x:xf>
    <x:xf numFmtId="1" fontId="25" fillId="0" borderId="4" xfId="0" applyNumberFormat="1" applyFont="1" applyBorder="1" applyAlignment="1">
      <x:alignment horizontal="center" vertical="top"/>
    </x:xf>
    <x:xf numFmtId="0" fontId="22" fillId="0" borderId="1" xfId="0" applyFont="1" applyBorder="1" applyAlignment="1">
      <x:alignment vertical="top" wrapText="1"/>
    </x:xf>
    <x:xf numFmtId="0" fontId="21" fillId="0" borderId="10" xfId="0" applyFont="1" applyBorder="1" applyAlignment="1">
      <x:alignment vertical="top" wrapText="1"/>
    </x:xf>
    <x:xf numFmtId="9" fontId="21" fillId="0" borderId="4" xfId="0" applyNumberFormat="1" applyFont="1" applyBorder="1" applyAlignment="1">
      <x:alignment horizontal="center" vertical="top"/>
    </x:xf>
    <x:xf numFmtId="10" fontId="22" fillId="0" borderId="4" xfId="0" applyNumberFormat="1" applyFont="1" applyBorder="1" applyAlignment="1">
      <x:alignment horizontal="center" vertical="top"/>
    </x:xf>
    <x:xf numFmtId="0" fontId="27" fillId="0" borderId="4" xfId="0" applyFont="1" applyBorder="1" applyAlignment="1">
      <x:alignment vertical="center"/>
    </x:xf>
    <x:xf numFmtId="0" fontId="22" fillId="0" borderId="0" xfId="0" applyFont="1" applyAlignment="1">
      <x:alignment vertical="top" wrapText="1"/>
    </x:xf>
    <x:xf numFmtId="0" fontId="22" fillId="0" borderId="6" xfId="0" applyFont="1" applyBorder="1" applyAlignment="1">
      <x:alignment vertical="top" wrapText="1"/>
    </x:xf>
    <x:xf numFmtId="10" fontId="22" fillId="0" borderId="4" xfId="0" applyNumberFormat="1" applyFont="1" applyBorder="1" applyAlignment="1">
      <x:alignment horizontal="center" vertical="top" wrapText="1"/>
    </x:xf>
    <x:xf numFmtId="3" fontId="22" fillId="0" borderId="4" xfId="0" applyNumberFormat="1" applyFont="1" applyBorder="1" applyAlignment="1">
      <x:alignment horizontal="center" vertical="top" wrapText="1"/>
    </x:xf>
    <x:xf numFmtId="3" fontId="26" fillId="0" borderId="4" xfId="0" applyNumberFormat="1" applyFont="1" applyBorder="1" applyAlignment="1">
      <x:alignment horizontal="center" vertical="top"/>
    </x:xf>
    <x:xf numFmtId="0" fontId="28" fillId="0" borderId="0" xfId="0" applyFont="1" applyAlignment="1">
      <x:alignment vertical="center"/>
    </x:xf>
    <x:xf numFmtId="0" fontId="22" fillId="0" borderId="4" xfId="0" applyFont="1" applyBorder="1" applyAlignment="1">
      <x:alignment horizontal="center" vertical="top" wrapText="1"/>
    </x:xf>
    <x:xf numFmtId="3" fontId="29" fillId="0" borderId="0" xfId="0" applyNumberFormat="1" applyFont="1" applyAlignment="1">
      <x:alignment horizontal="center" vertical="top"/>
    </x:xf>
    <x:xf numFmtId="0" fontId="28" fillId="0" borderId="10" xfId="0" applyFont="1" applyBorder="1" applyAlignment="1">
      <x:alignment vertical="center"/>
    </x:xf>
    <x:xf numFmtId="3" fontId="29" fillId="0" borderId="10" xfId="0" applyNumberFormat="1" applyFont="1" applyBorder="1" applyAlignment="1">
      <x:alignment horizontal="center" vertical="center"/>
    </x:xf>
    <x:xf numFmtId="0" fontId="22" fillId="0" borderId="11" xfId="0" applyFont="1" applyBorder="1" applyAlignment="1">
      <x:alignment vertical="top" wrapText="1"/>
    </x:xf>
    <x:xf numFmtId="0" fontId="22" fillId="0" borderId="2" xfId="0" applyFont="1" applyBorder="1" applyAlignment="1">
      <x:alignment vertical="top"/>
    </x:xf>
    <x:xf numFmtId="0" fontId="25" fillId="5" borderId="4" xfId="0" applyFont="1" applyFill="1" applyBorder="1" applyAlignment="1">
      <x:alignment horizontal="center" vertical="top"/>
    </x:xf>
    <x:xf numFmtId="0" fontId="21" fillId="5" borderId="4" xfId="0" applyFont="1" applyFill="1" applyBorder="1" applyAlignment="1">
      <x:alignment horizontal="center" vertical="center" wrapText="1"/>
    </x:xf>
    <x:xf numFmtId="0" fontId="21" fillId="4" borderId="4" xfId="0" applyFont="1" applyFill="1" applyBorder="1" applyAlignment="1">
      <x:alignment horizontal="left" vertical="center" wrapText="1"/>
    </x:xf>
    <x:xf numFmtId="0" fontId="22" fillId="7" borderId="1" xfId="0" applyFont="1" applyFill="1" applyBorder="1" applyAlignment="1">
      <x:alignment vertical="center" wrapText="1"/>
    </x:xf>
    <x:xf numFmtId="0" fontId="21" fillId="8" borderId="4" xfId="0" applyFont="1" applyFill="1" applyBorder="1" applyAlignment="1">
      <x:alignment horizontal="center" vertical="center" wrapText="1"/>
    </x:xf>
    <x:xf numFmtId="0" fontId="21" fillId="6" borderId="4" xfId="0" applyFont="1" applyFill="1" applyBorder="1" applyAlignment="1">
      <x:alignment horizontal="center" vertical="center" wrapText="1"/>
    </x:xf>
    <x:xf numFmtId="0" fontId="27" fillId="0" borderId="16" xfId="0" applyFont="1" applyBorder="1" applyAlignment="1">
      <x:alignment vertical="center"/>
    </x:xf>
    <x:xf numFmtId="9" fontId="6" fillId="0" borderId="4" xfId="0" applyNumberFormat="1" applyFont="1" applyBorder="1" applyAlignment="1">
      <x:alignment vertical="top"/>
    </x:xf>
    <x:xf numFmtId="0" fontId="4" fillId="0" borderId="4" xfId="0" applyFont="1" applyBorder="1" applyAlignment="1">
      <x:alignment vertical="center" wrapText="1"/>
    </x:xf>
    <x:xf numFmtId="0" fontId="25" fillId="0" borderId="4" xfId="0" applyFont="1" applyBorder="1" applyAlignment="1">
      <x:alignment vertical="center"/>
    </x:xf>
    <x:xf numFmtId="0" fontId="14" fillId="2" borderId="2" xfId="0" applyFont="1" applyFill="1" applyBorder="1" applyAlignment="1">
      <x:alignment vertical="center"/>
    </x:xf>
    <x:xf numFmtId="0" fontId="2" fillId="0" borderId="7" xfId="0" applyFont="1" applyBorder="1" applyAlignment="1">
      <x:alignment horizontal="left" vertical="top"/>
    </x:xf>
    <x:xf numFmtId="0" fontId="21" fillId="0" borderId="4" xfId="0" applyFont="1" applyBorder="1" applyAlignment="1">
      <x:alignment vertical="top" wrapText="1"/>
    </x:xf>
    <x:xf numFmtId="0" fontId="21" fillId="0" borderId="1" xfId="0" applyFont="1" applyBorder="1" applyAlignment="1">
      <x:alignment vertical="top" wrapText="1"/>
    </x:xf>
    <x:xf numFmtId="0" fontId="22" fillId="0" borderId="11" xfId="0" applyFont="1" applyBorder="1" applyAlignment="1">
      <x:alignment horizontal="center" vertical="top" wrapText="1"/>
    </x:xf>
    <x:xf numFmtId="0" fontId="22" fillId="0" borderId="5" xfId="0" applyFont="1" applyBorder="1" applyAlignment="1">
      <x:alignment vertical="top" wrapText="1"/>
    </x:xf>
    <x:xf numFmtId="0" fontId="25" fillId="0" borderId="0" xfId="0" applyFont="1" applyAlignment="1">
      <x:alignment horizontal="center" vertical="center"/>
    </x:xf>
    <x:xf numFmtId="0" fontId="22" fillId="0" borderId="16" xfId="0" applyFont="1" applyBorder="1" applyAlignment="1">
      <x:alignment horizontal="center" vertical="top" wrapText="1"/>
    </x:xf>
    <x:xf numFmtId="0" fontId="20" fillId="0" borderId="5" xfId="0" applyFont="1" applyBorder="1" applyAlignment="1">
      <x:alignment horizontal="left" vertical="top" wrapText="1"/>
    </x:xf>
    <x:xf numFmtId="0" fontId="2" fillId="0" borderId="5" xfId="0" applyFont="1" applyBorder="1" applyAlignment="1">
      <x:alignment horizontal="center" vertical="top"/>
    </x:xf>
    <x:xf numFmtId="0" fontId="2" fillId="0" borderId="9" xfId="0" applyFont="1" applyBorder="1" applyAlignment="1">
      <x:alignment horizontal="center" vertical="top"/>
    </x:xf>
    <x:xf numFmtId="0" fontId="2" fillId="0" borderId="8" xfId="0" applyFont="1" applyBorder="1" applyAlignment="1">
      <x:alignment horizontal="center" vertical="top"/>
    </x:xf>
    <x:xf numFmtId="0" fontId="20" fillId="0" borderId="4" xfId="0" applyFont="1" applyBorder="1" applyAlignment="1">
      <x:alignment vertical="center"/>
    </x:xf>
    <x:xf numFmtId="0" fontId="5" fillId="0" borderId="3" xfId="0" applyFont="1" applyBorder="1" applyAlignment="1">
      <x:alignment vertical="center" wrapText="1"/>
    </x:xf>
    <x:xf numFmtId="0" fontId="5" fillId="0" borderId="3" xfId="0" applyFont="1" applyBorder="1" applyAlignment="1">
      <x:alignment horizontal="center" vertical="top"/>
    </x:xf>
    <x:xf numFmtId="0" fontId="2" fillId="0" borderId="0" xfId="0" applyFont="1" applyAlignment="1">
      <x:alignment horizontal="center" vertical="top"/>
    </x:xf>
    <x:xf numFmtId="0" fontId="5" fillId="0" borderId="16" xfId="0" applyFont="1" applyBorder="1" applyAlignment="1">
      <x:alignment horizontal="center" vertical="top" wrapText="1"/>
    </x:xf>
    <x:xf numFmtId="0" fontId="20" fillId="0" borderId="9" xfId="0" applyFont="1" applyBorder="1" applyAlignment="1">
      <x:alignment horizontal="left" vertical="center" wrapText="1"/>
    </x:xf>
    <x:xf numFmtId="0" fontId="32" fillId="0" borderId="0" xfId="0" applyFont="1" applyAlignment="1">
      <x:alignment vertical="center"/>
    </x:xf>
    <x:xf numFmtId="0" fontId="3" fillId="0" borderId="9" xfId="0" applyFont="1" applyBorder="1" applyAlignment="1">
      <x:alignment horizontal="left" vertical="top" wrapText="1"/>
    </x:xf>
    <x:xf numFmtId="0" fontId="17" fillId="5" borderId="4" xfId="0" applyFont="1" applyFill="1" applyBorder="1" applyAlignment="1">
      <x:alignment horizontal="center" vertical="center" wrapText="1"/>
    </x:xf>
    <x:xf numFmtId="0" fontId="19" fillId="0" borderId="6" xfId="0" applyFont="1" applyBorder="1" applyAlignment="1">
      <x:alignment horizontal="center" vertical="center" wrapText="1"/>
    </x:xf>
    <x:xf numFmtId="0" fontId="33" fillId="5" borderId="5" xfId="0" applyFont="1" applyFill="1" applyBorder="1" applyAlignment="1">
      <x:alignment horizontal="center" vertical="center" wrapText="1"/>
    </x:xf>
    <x:xf numFmtId="0" fontId="20" fillId="0" borderId="9" xfId="0" applyFont="1" applyBorder="1" applyAlignment="1">
      <x:alignment horizontal="left" vertical="top" wrapText="1"/>
    </x:xf>
    <x:xf numFmtId="0" fontId="5" fillId="0" borderId="7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left" vertical="center"/>
    </x:xf>
    <x:xf numFmtId="0" fontId="2" fillId="0" borderId="8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left" vertical="center"/>
    </x:xf>
    <x:xf numFmtId="0" fontId="9" fillId="0" borderId="8" xfId="0" applyFont="1" applyBorder="1" applyAlignment="1">
      <x:alignment horizontal="left" vertical="center"/>
    </x:xf>
    <x:xf numFmtId="0" fontId="5" fillId="0" borderId="7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0" fillId="0" borderId="4" xfId="0" applyFont="1" applyBorder="1" applyAlignment="1">
      <x:alignment horizontal="left" vertical="top" wrapText="1"/>
    </x:xf>
    <x:xf numFmtId="0" fontId="19" fillId="0" borderId="9" xfId="0" applyFont="1" applyBorder="1" applyAlignment="1">
      <x:alignment horizontal="center" vertical="top"/>
    </x:xf>
    <x:xf numFmtId="0" fontId="19" fillId="0" borderId="9" xfId="0" applyFont="1" applyBorder="1" applyAlignment="1">
      <x:alignment horizontal="left" vertical="top" wrapText="1"/>
    </x:xf>
    <x:xf numFmtId="0" fontId="19" fillId="0" borderId="2" xfId="0" applyFont="1" applyBorder="1" applyAlignment="1">
      <x:alignment horizontal="left" vertical="center" wrapText="1"/>
    </x:xf>
    <x:xf numFmtId="0" fontId="20" fillId="0" borderId="2" xfId="0" applyFont="1" applyBorder="1" applyAlignment="1">
      <x:alignment horizontal="left" vertical="top" wrapText="1"/>
    </x:xf>
    <x:xf numFmtId="0" fontId="2" fillId="0" borderId="16" xfId="0" applyFont="1" applyBorder="1" applyAlignment="1">
      <x:alignment vertical="center"/>
    </x:xf>
    <x:xf numFmtId="0" fontId="5" fillId="0" borderId="16" xfId="0" applyFont="1" applyBorder="1" applyAlignment="1">
      <x:alignment vertical="center"/>
    </x:xf>
    <x:xf numFmtId="0" fontId="0" fillId="0" borderId="16" xfId="0" applyBorder="1" applyAlignment="1">
      <x:alignment vertical="center"/>
    </x:xf>
    <x:xf numFmtId="0" fontId="20" fillId="0" borderId="1" xfId="0" applyFont="1" applyBorder="1" applyAlignment="1">
      <x:alignment horizontal="left" vertical="top" wrapText="1"/>
    </x:xf>
    <x:xf numFmtId="0" fontId="2" fillId="0" borderId="15" xfId="0" applyFont="1" applyBorder="1" applyAlignment="1">
      <x:alignment vertical="center"/>
    </x:xf>
    <x:xf numFmtId="0" fontId="2" fillId="0" borderId="12" xfId="0" applyFont="1" applyBorder="1" applyAlignment="1">
      <x:alignment horizontal="left" vertical="center"/>
    </x:xf>
    <x:xf numFmtId="0" fontId="2" fillId="0" borderId="13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left" vertical="center"/>
    </x:xf>
    <x:xf numFmtId="0" fontId="2" fillId="0" borderId="13" xfId="0" applyFont="1" applyBorder="1" applyAlignment="1">
      <x:alignment horizontal="center" vertical="top"/>
    </x:xf>
    <x:xf numFmtId="0" fontId="34" fillId="0" borderId="15" xfId="0" applyFont="1" applyBorder="1" applyAlignment="1">
      <x:alignment vertical="center"/>
    </x:xf>
    <x:xf numFmtId="0" fontId="9" fillId="0" borderId="13" xfId="0" applyFont="1" applyBorder="1" applyAlignment="1">
      <x:alignment horizontal="left" vertical="center"/>
    </x:xf>
    <x:xf numFmtId="0" fontId="2" fillId="0" borderId="12" xfId="0" applyFont="1" applyBorder="1" applyAlignment="1">
      <x:alignment vertical="center"/>
    </x:xf>
    <x:xf numFmtId="0" fontId="2" fillId="0" borderId="8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center" wrapText="1"/>
    </x:xf>
    <x:xf numFmtId="0" fontId="5" fillId="0" borderId="12" xfId="0" applyFont="1" applyBorder="1" applyAlignment="1">
      <x:alignment vertical="center" wrapText="1"/>
    </x:xf>
    <x:xf numFmtId="0" fontId="2" fillId="0" borderId="12" xfId="0" applyFont="1" applyBorder="1" applyAlignment="1">
      <x:alignment horizontal="left" vertical="center" wrapText="1"/>
    </x:xf>
    <x:xf numFmtId="0" fontId="5" fillId="0" borderId="12" xfId="0" applyFont="1" applyBorder="1" applyAlignment="1">
      <x:alignment vertical="center"/>
    </x:xf>
    <x:xf numFmtId="0" fontId="9" fillId="0" borderId="12" xfId="0" applyFont="1" applyBorder="1" applyAlignment="1">
      <x:alignment vertical="center"/>
    </x:xf>
    <x:xf numFmtId="0" fontId="12" fillId="0" borderId="12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left" vertical="top"/>
    </x:xf>
    <x:xf numFmtId="0" fontId="2" fillId="0" borderId="17" xfId="0" applyFont="1" applyBorder="1" applyAlignment="1">
      <x:alignment horizontal="left" vertical="top"/>
    </x:xf>
    <x:xf numFmtId="0" fontId="5" fillId="0" borderId="17" xfId="0" applyFont="1" applyBorder="1" applyAlignment="1">
      <x:alignment horizontal="left" vertical="top"/>
    </x:xf>
    <x:xf numFmtId="0" fontId="5" fillId="0" borderId="14" xfId="0" applyFont="1" applyBorder="1" applyAlignment="1">
      <x:alignment horizontal="left" vertical="top"/>
    </x:xf>
    <x:xf numFmtId="0" fontId="2" fillId="0" borderId="18" xfId="0" applyFont="1" applyBorder="1" applyAlignment="1">
      <x:alignment horizontal="left" vertical="top"/>
    </x:xf>
    <x:xf numFmtId="0" fontId="2" fillId="0" borderId="17" xfId="0" applyFont="1" applyBorder="1" applyAlignment="1">
      <x:alignment horizontal="left" vertical="center"/>
    </x:xf>
    <x:xf numFmtId="0" fontId="2" fillId="0" borderId="19" xfId="0" applyFont="1" applyBorder="1" applyAlignment="1">
      <x:alignment horizontal="left" vertical="center"/>
    </x:xf>
    <x:xf numFmtId="0" fontId="2" fillId="0" borderId="19" xfId="0" applyFont="1" applyBorder="1" applyAlignment="1">
      <x:alignment horizontal="left" vertical="top"/>
    </x:xf>
    <x:xf numFmtId="0" fontId="2" fillId="0" borderId="14" xfId="0" applyFont="1" applyBorder="1" applyAlignment="1">
      <x:alignment horizontal="left" vertical="center"/>
    </x:xf>
    <x:xf numFmtId="0" fontId="2" fillId="0" borderId="20" xfId="0" applyFont="1" applyBorder="1" applyAlignment="1">
      <x:alignment horizontal="left" vertical="center"/>
    </x:xf>
    <x:xf numFmtId="0" fontId="19" fillId="0" borderId="18" xfId="0" applyFont="1" applyBorder="1" applyAlignment="1">
      <x:alignment horizontal="left" vertical="top" wrapText="1"/>
    </x:xf>
    <x:xf numFmtId="0" fontId="5" fillId="0" borderId="14" xfId="0" applyFont="1" applyBorder="1" applyAlignment="1">
      <x:alignment vertical="top"/>
    </x:xf>
    <x:xf numFmtId="0" fontId="2" fillId="0" borderId="18" xfId="0" applyFont="1" applyBorder="1" applyAlignment="1">
      <x:alignment horizontal="left" vertical="center"/>
    </x:xf>
    <x:xf numFmtId="0" fontId="2" fillId="0" borderId="20" xfId="0" applyFont="1" applyBorder="1" applyAlignment="1">
      <x:alignment vertical="center"/>
    </x:xf>
    <x:xf numFmtId="0" fontId="5" fillId="0" borderId="2" xfId="0" applyFont="1" applyBorder="1" applyAlignment="1">
      <x:alignment vertical="top" wrapText="1"/>
    </x:xf>
    <x:xf numFmtId="0" fontId="7" fillId="0" borderId="20" xfId="0" applyFont="1" applyBorder="1" applyAlignment="1">
      <x:alignment horizontal="center" vertical="center"/>
    </x:xf>
    <x:xf numFmtId="0" fontId="18" fillId="0" borderId="16" xfId="2" applyFont="1" applyAlignment="1">
      <x:alignment horizontal="center"/>
    </x:xf>
    <x:xf numFmtId="0" fontId="1" fillId="0" borderId="16" xfId="2"/>
    <x:xf numFmtId="0" fontId="1" fillId="0" borderId="16" xfId="2" applyAlignment="1">
      <x:alignment horizontal="center" vertical="top"/>
    </x:xf>
    <x:xf numFmtId="0" fontId="1" fillId="0" borderId="16" xfId="2" applyAlignment="1">
      <x:alignment vertical="top" wrapText="1"/>
    </x:xf>
    <x:xf numFmtId="0" fontId="1" fillId="0" borderId="16" xfId="2" applyAlignment="1">
      <x:alignment horizontal="center"/>
    </x:xf>
    <x:xf numFmtId="0" fontId="35" fillId="0" borderId="16" xfId="2" applyFont="1" applyAlignment="1">
      <x:alignment wrapText="1"/>
    </x:xf>
    <x:xf numFmtId="0" fontId="36" fillId="0" borderId="16" xfId="2" applyFont="1" applyAlignment="1">
      <x:alignment horizontal="center"/>
    </x:xf>
    <x:xf numFmtId="0" fontId="18" fillId="0" borderId="16" xfId="2" applyFont="1" applyAlignment="1">
      <x:alignment vertical="center"/>
    </x:xf>
    <x:xf numFmtId="0" fontId="18" fillId="0" borderId="2" xfId="2" applyFont="1" applyBorder="1" applyAlignment="1">
      <x:alignment horizontal="center" vertical="center" wrapText="1"/>
    </x:xf>
    <x:xf numFmtId="0" fontId="18" fillId="0" borderId="4" xfId="2" applyFont="1" applyBorder="1" applyAlignment="1">
      <x:alignment horizontal="center" vertical="center" wrapText="1"/>
    </x:xf>
    <x:xf numFmtId="0" fontId="18" fillId="0" borderId="22" xfId="2" applyFont="1" applyBorder="1" applyAlignment="1">
      <x:alignment horizontal="center" vertical="center" wrapText="1"/>
    </x:xf>
    <x:xf numFmtId="0" fontId="18" fillId="0" borderId="1" xfId="2" applyFont="1" applyBorder="1" applyAlignment="1">
      <x:alignment horizontal="center"/>
    </x:xf>
    <x:xf numFmtId="0" fontId="18" fillId="0" borderId="6" xfId="2" applyFont="1" applyBorder="1" applyAlignment="1">
      <x:alignment horizontal="center"/>
    </x:xf>
    <x:xf numFmtId="0" fontId="18" fillId="0" borderId="1" xfId="2" applyFont="1" applyBorder="1" applyAlignment="1">
      <x:alignment horizontal="center" vertical="top"/>
    </x:xf>
    <x:xf numFmtId="0" fontId="18" fillId="0" borderId="4" xfId="2" applyFont="1" applyBorder="1" applyAlignment="1">
      <x:alignment horizontal="center"/>
    </x:xf>
    <x:xf numFmtId="0" fontId="37" fillId="0" borderId="4" xfId="2" applyFont="1" applyBorder="1" applyAlignment="1">
      <x:alignment horizontal="center" wrapText="1"/>
    </x:xf>
    <x:xf numFmtId="0" fontId="18" fillId="0" borderId="7" xfId="2" applyFont="1" applyBorder="1" applyAlignment="1">
      <x:alignment horizontal="center" vertical="top"/>
    </x:xf>
    <x:xf numFmtId="0" fontId="18" fillId="0" borderId="8" xfId="2" applyFont="1" applyBorder="1" applyAlignment="1">
      <x:alignment horizontal="center" vertical="top"/>
    </x:xf>
    <x:xf numFmtId="0" fontId="18" fillId="0" borderId="23" xfId="2" applyFont="1" applyBorder="1" applyAlignment="1">
      <x:alignment vertical="top"/>
    </x:xf>
    <x:xf numFmtId="0" fontId="18" fillId="0" borderId="7" xfId="2" applyFont="1" applyBorder="1" applyAlignment="1">
      <x:alignment vertical="top"/>
    </x:xf>
    <x:xf numFmtId="0" fontId="18" fillId="0" borderId="1" xfId="2" applyFont="1" applyBorder="1" applyAlignment="1">
      <x:alignment vertical="top"/>
    </x:xf>
    <x:xf numFmtId="0" fontId="18" fillId="0" borderId="1" xfId="2" applyFont="1" applyBorder="1"/>
    <x:xf numFmtId="0" fontId="41" fillId="0" borderId="8" xfId="2" applyFont="1" applyBorder="1"/>
    <x:xf numFmtId="0" fontId="41" fillId="0" borderId="8" xfId="2" applyFont="1" applyBorder="1" applyAlignment="1">
      <x:alignment horizontal="center" vertical="top"/>
    </x:xf>
    <x:xf numFmtId="0" fontId="41" fillId="0" borderId="19" xfId="2" applyFont="1" applyBorder="1" applyAlignment="1">
      <x:alignment vertical="top" wrapText="1"/>
    </x:xf>
    <x:xf numFmtId="0" fontId="37" fillId="0" borderId="7" xfId="2" applyFont="1" applyBorder="1" applyAlignment="1">
      <x:alignment vertical="top" wrapText="1"/>
    </x:xf>
    <x:xf numFmtId="0" fontId="42" fillId="0" borderId="7" xfId="2" applyFont="1" applyBorder="1" applyAlignment="1">
      <x:alignment vertical="top" wrapText="1"/>
    </x:xf>
    <x:xf numFmtId="0" fontId="42" fillId="0" borderId="7" xfId="2" applyFont="1" applyBorder="1" applyAlignment="1">
      <x:alignment vertical="top" wrapText="1"/>
    </x:xf>
    <x:xf numFmtId="0" fontId="38" fillId="0" borderId="7" xfId="2" applyFont="1" applyBorder="1" applyAlignment="1">
      <x:alignment horizontal="center" vertical="top" wrapText="1"/>
    </x:xf>
    <x:xf numFmtId="0" fontId="43" fillId="0" borderId="16" xfId="2" applyFont="1" applyAlignment="1">
      <x:alignment vertical="top" wrapText="1"/>
    </x:xf>
    <x:xf numFmtId="0" fontId="18" fillId="0" borderId="7" xfId="2" applyFont="1" applyBorder="1" applyAlignment="1">
      <x:alignment horizontal="center" vertical="center"/>
    </x:xf>
    <x:xf numFmtId="0" fontId="1" fillId="0" borderId="16" xfId="2" applyAlignment="1">
      <x:alignment horizontal="center" vertical="center"/>
    </x:xf>
    <x:xf numFmtId="0" fontId="18" fillId="0" borderId="23" xfId="2" applyFont="1" applyBorder="1" applyAlignment="1">
      <x:alignment vertical="center"/>
    </x:xf>
    <x:xf numFmtId="0" fontId="18" fillId="0" borderId="7" xfId="2" applyFont="1" applyBorder="1" applyAlignment="1">
      <x:alignment vertical="center"/>
    </x:xf>
    <x:xf numFmtId="0" fontId="38" fillId="0" borderId="7" xfId="2" applyFont="1" applyBorder="1" applyAlignment="1">
      <x:alignment horizontal="center" vertical="top"/>
    </x:xf>
    <x:xf numFmtId="0" fontId="1" fillId="0" borderId="16" xfId="2" applyAlignment="1">
      <x:alignment vertical="center"/>
    </x:xf>
    <x:xf numFmtId="0" fontId="43" fillId="0" borderId="16" xfId="2" applyFont="1" applyAlignment="1">
      <x:alignment wrapText="1"/>
    </x:xf>
    <x:xf numFmtId="9" fontId="18" fillId="0" borderId="7" xfId="2" applyNumberFormat="1" applyFont="1" applyBorder="1" applyAlignment="1">
      <x:alignment horizontal="center" vertical="top"/>
    </x:xf>
    <x:xf numFmtId="0" fontId="37" fillId="0" borderId="7" xfId="2" applyFont="1" applyBorder="1" applyAlignment="1">
      <x:alignment vertical="center" wrapText="1"/>
    </x:xf>
    <x:xf numFmtId="0" fontId="40" fillId="0" borderId="7" xfId="2" applyFont="1" applyBorder="1" applyAlignment="1">
      <x:alignment horizontal="center" vertical="top" wrapText="1"/>
    </x:xf>
    <x:xf numFmtId="0" fontId="41" fillId="0" borderId="16" xfId="2" applyFont="1" applyAlignment="1">
      <x:alignment vertical="top" wrapText="1"/>
    </x:xf>
    <x:xf numFmtId="3" fontId="18" fillId="0" borderId="8" xfId="2" applyNumberFormat="1" applyFont="1" applyBorder="1" applyAlignment="1">
      <x:alignment horizontal="center" vertical="center"/>
    </x:xf>
    <x:xf numFmtId="0" fontId="30" fillId="0" borderId="7" xfId="2" applyFont="1" applyBorder="1" applyAlignment="1">
      <x:alignment horizontal="center" vertical="top"/>
    </x:xf>
    <x:xf numFmtId="3" fontId="18" fillId="0" borderId="8" xfId="2" applyNumberFormat="1" applyFont="1" applyBorder="1" applyAlignment="1">
      <x:alignment horizontal="center" vertical="top"/>
    </x:xf>
    <x:xf numFmtId="0" fontId="44" fillId="0" borderId="7" xfId="2" applyFont="1" applyBorder="1" applyAlignment="1">
      <x:alignment horizontal="center" vertical="top" wrapText="1"/>
    </x:xf>
    <x:xf numFmtId="0" fontId="38" fillId="0" borderId="7" xfId="2" applyFont="1" applyBorder="1" applyAlignment="1">
      <x:alignment vertical="top" wrapText="1"/>
    </x:xf>
    <x:xf numFmtId="0" fontId="45" fillId="0" borderId="16" xfId="2" applyFont="1" applyAlignment="1">
      <x:alignment vertical="top" wrapText="1"/>
    </x:xf>
    <x:xf numFmtId="0" fontId="38" fillId="0" borderId="9" xfId="2" applyFont="1" applyBorder="1"/>
    <x:xf numFmtId="0" fontId="38" fillId="0" borderId="9" xfId="2" applyFont="1" applyBorder="1" applyAlignment="1">
      <x:alignment horizontal="center" vertical="top"/>
    </x:xf>
    <x:xf numFmtId="0" fontId="38" fillId="0" borderId="18" xfId="2" applyFont="1" applyBorder="1" applyAlignment="1">
      <x:alignment vertical="top" wrapText="1"/>
    </x:xf>
    <x:xf numFmtId="0" fontId="18" fillId="0" borderId="5" xfId="2" applyFont="1" applyBorder="1" applyAlignment="1">
      <x:alignment horizontal="center" vertical="top"/>
    </x:xf>
    <x:xf numFmtId="0" fontId="18" fillId="0" borderId="5" xfId="2" applyFont="1" applyBorder="1" applyAlignment="1">
      <x:alignment horizontal="center"/>
    </x:xf>
    <x:xf numFmtId="0" fontId="18" fillId="0" borderId="9" xfId="2" applyFont="1" applyBorder="1" applyAlignment="1">
      <x:alignment horizontal="center"/>
    </x:xf>
    <x:xf numFmtId="0" fontId="18" fillId="0" borderId="24" xfId="2" applyFont="1" applyBorder="1"/>
    <x:xf numFmtId="0" fontId="18" fillId="0" borderId="5" xfId="2" applyFont="1" applyBorder="1"/>
    <x:xf numFmtId="0" fontId="37" fillId="0" borderId="5" xfId="2" applyFont="1" applyBorder="1" applyAlignment="1">
      <x:alignment wrapText="1"/>
    </x:xf>
    <x:xf numFmtId="0" fontId="42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horizontal="center"/>
    </x:xf>
    <x:xf numFmtId="0" fontId="48" fillId="2" borderId="16" xfId="2" applyFont="1" applyFill="1"/>
    <x:xf numFmtId="0" fontId="38" fillId="2" borderId="16" xfId="2" applyFont="1" applyFill="1"/>
    <x:xf numFmtId="0" fontId="36" fillId="0" borderId="16" xfId="2" applyFont="1"/>
    <x:xf numFmtId="0" fontId="18" fillId="0" borderId="6" xfId="2" applyFont="1" applyBorder="1" applyAlignment="1">
      <x:alignment horizontal="center" vertical="top"/>
    </x:xf>
    <x:xf numFmtId="168" fontId="52" fillId="10" borderId="28" xfId="3" applyNumberFormat="1" applyFont="1" applyFill="1" applyBorder="1" applyAlignment="1">
      <x:alignment horizontal="right" vertical="top"/>
    </x:xf>
    <x:xf numFmtId="168" fontId="53" fillId="10" borderId="29" xfId="3" applyNumberFormat="1" applyFont="1" applyFill="1" applyBorder="1" applyAlignment="1">
      <x:alignment horizontal="right" vertical="top"/>
    </x:xf>
    <x:xf numFmtId="0" fontId="18" fillId="0" borderId="8" xfId="2" applyFont="1" applyBorder="1" applyAlignment="1">
      <x:alignment horizontal="center" vertical="center"/>
    </x:xf>
    <x:xf numFmtId="0" fontId="42" fillId="0" borderId="7" xfId="2" applyFont="1" applyBorder="1" applyAlignment="1">
      <x:alignment vertical="center"/>
    </x:xf>
    <x:xf numFmtId="0" fontId="42" fillId="0" borderId="19" xfId="2" applyFont="1" applyBorder="1" applyAlignment="1">
      <x:alignment vertical="center"/>
    </x:xf>
    <x:xf numFmtId="0" fontId="18" fillId="0" borderId="7" xfId="2" applyFont="1" applyBorder="1"/>
    <x:xf numFmtId="0" fontId="42" fillId="0" borderId="7" xfId="2" applyFont="1" applyBorder="1"/>
    <x:xf numFmtId="0" fontId="42" fillId="0" borderId="19" xfId="2" applyFont="1" applyBorder="1"/>
    <x:xf numFmtId="0" fontId="18" fillId="0" borderId="5" xfId="2" applyFont="1" applyBorder="1" applyAlignment="1">
      <x:alignment horizontal="left" vertical="top" wrapText="1"/>
    </x:xf>
    <x:xf numFmtId="0" fontId="18" fillId="0" borderId="5" xfId="2" applyFont="1" applyBorder="1" applyAlignment="1">
      <x:alignment vertical="center"/>
    </x:xf>
    <x:xf numFmtId="0" fontId="42" fillId="0" borderId="5" xfId="2" applyFont="1" applyBorder="1" applyAlignment="1">
      <x:alignment vertical="center"/>
    </x:xf>
    <x:xf numFmtId="0" fontId="42" fillId="0" borderId="18" xfId="2" applyFont="1" applyBorder="1" applyAlignment="1">
      <x:alignment vertical="center"/>
    </x:xf>
    <x:xf numFmtId="168" fontId="42" fillId="0" borderId="7" xfId="2" applyNumberFormat="1" applyFont="1" applyBorder="1"/>
    <x:xf numFmtId="168" fontId="53" fillId="10" borderId="1" xfId="3" applyNumberFormat="1" applyFont="1" applyFill="1" applyBorder="1" applyAlignment="1">
      <x:alignment horizontal="right" vertical="center"/>
    </x:xf>
    <x:xf numFmtId="0" fontId="30" fillId="0" borderId="19" xfId="2" applyFont="1" applyBorder="1"/>
    <x:xf numFmtId="0" fontId="30" fillId="0" borderId="7" xfId="2" applyFont="1" applyBorder="1"/>
    <x:xf numFmtId="0" fontId="18" fillId="0" borderId="8" xfId="2" applyFont="1" applyBorder="1" applyAlignment="1">
      <x:alignment horizontal="center"/>
    </x:xf>
    <x:xf numFmtId="0" fontId="18" fillId="0" borderId="8" xfId="2" applyFont="1" applyBorder="1"/>
    <x:xf numFmtId="0" fontId="42" fillId="0" borderId="1" xfId="2" applyFont="1" applyBorder="1" applyAlignment="1">
      <x:alignment vertical="top" wrapText="1"/>
    </x:xf>
    <x:xf numFmtId="0" fontId="18" fillId="0" borderId="1" xfId="2" applyFont="1" applyBorder="1" applyAlignment="1">
      <x:alignment vertical="top" wrapText="1"/>
    </x:xf>
    <x:xf numFmtId="0" fontId="18" fillId="0" borderId="19" xfId="2" applyFont="1" applyBorder="1"/>
    <x:xf numFmtId="168" fontId="42" fillId="0" borderId="7" xfId="2" applyNumberFormat="1" applyFont="1" applyBorder="1" applyAlignment="1">
      <x:alignment vertical="top"/>
    </x:xf>
    <x:xf numFmtId="0" fontId="18" fillId="0" borderId="7" xfId="2" applyFont="1" applyBorder="1" applyAlignment="1">
      <x:alignment vertical="top" wrapText="1"/>
    </x:xf>
    <x:xf numFmtId="0" fontId="42" fillId="0" borderId="5" xfId="2" applyFont="1" applyBorder="1"/>
    <x:xf numFmtId="0" fontId="1" fillId="0" borderId="11" xfId="2" applyBorder="1"/>
    <x:xf numFmtId="0" fontId="42" fillId="0" borderId="18" xfId="2" applyFont="1" applyBorder="1"/>
    <x:xf numFmtId="0" fontId="38" fillId="0" borderId="7" xfId="2" applyFont="1" applyBorder="1" applyAlignment="1">
      <x:alignment vertical="top" wrapText="1"/>
    </x:xf>
    <x:xf numFmtId="0" fontId="18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vertical="top" wrapText="1"/>
    </x:xf>
    <x:xf numFmtId="0" fontId="38" fillId="0" borderId="5" xfId="2" applyFont="1" applyBorder="1" applyAlignment="1">
      <x:alignment vertical="top" wrapText="1"/>
    </x:xf>
    <x:xf numFmtId="0" fontId="18" fillId="0" borderId="6" xfId="2" applyFont="1" applyBorder="1"/>
    <x:xf numFmtId="0" fontId="38" fillId="0" borderId="1" xfId="2" applyFont="1" applyBorder="1"/>
    <x:xf numFmtId="168" fontId="53" fillId="0" borderId="7" xfId="3" applyNumberFormat="1" applyFont="1" applyBorder="1" applyAlignment="1">
      <x:alignment horizontal="right" vertical="center"/>
    </x:xf>
    <x:xf numFmtId="0" fontId="1" fillId="0" borderId="7" xfId="2" applyBorder="1"/>
    <x:xf numFmtId="0" fontId="30" fillId="0" borderId="5" xfId="2" applyFont="1" applyBorder="1"/>
    <x:xf numFmtId="0" fontId="57" fillId="0" borderId="36" xfId="0" applyFont="1" applyBorder="1" applyAlignment="1">
      <x:alignment horizontal="center" vertical="center" wrapText="1"/>
    </x:xf>
    <x:xf numFmtId="0" fontId="57" fillId="0" borderId="38" xfId="0" applyFont="1" applyBorder="1" applyAlignment="1">
      <x:alignment horizontal="center" vertical="center" wrapText="1"/>
    </x:xf>
    <x:xf numFmtId="0" fontId="57" fillId="0" borderId="39" xfId="0" applyFont="1" applyBorder="1" applyAlignment="1">
      <x:alignment horizontal="center" vertical="center" wrapText="1"/>
    </x:xf>
    <x:xf numFmtId="0" fontId="57" fillId="0" borderId="42" xfId="0" applyFont="1" applyBorder="1" applyAlignment="1">
      <x:alignment horizontal="center" vertical="center" wrapText="1"/>
    </x:xf>
    <x:xf numFmtId="0" fontId="57" fillId="0" borderId="43" xfId="0" applyFont="1" applyBorder="1" applyAlignment="1">
      <x:alignment horizontal="center" vertical="center" wrapText="1"/>
    </x:xf>
    <x:xf numFmtId="0" fontId="57" fillId="0" borderId="44" xfId="0" applyFont="1" applyBorder="1" applyAlignment="1">
      <x:alignment vertical="center" wrapText="1"/>
    </x:xf>
    <x:xf numFmtId="0" fontId="57" fillId="0" borderId="44" xfId="0" applyFont="1" applyBorder="1" applyAlignment="1">
      <x:alignment horizontal="center" vertical="center" wrapText="1"/>
    </x:xf>
    <x:xf numFmtId="3" fontId="57" fillId="0" borderId="46" xfId="0" applyNumberFormat="1" applyFont="1" applyBorder="1" applyAlignment="1">
      <x:alignment horizontal="center" vertical="center" wrapText="1"/>
    </x:xf>
    <x:xf numFmtId="0" fontId="57" fillId="0" borderId="45" xfId="0" applyFont="1" applyBorder="1" applyAlignment="1">
      <x:alignment vertical="center" wrapText="1"/>
    </x:xf>
    <x:xf numFmtId="0" fontId="57" fillId="11" borderId="44" xfId="0" applyFont="1" applyFill="1" applyBorder="1" applyAlignment="1">
      <x:alignment vertical="center" wrapText="1"/>
    </x:xf>
    <x:xf numFmtId="0" fontId="57" fillId="0" borderId="47" xfId="0" applyFont="1" applyBorder="1" applyAlignment="1">
      <x:alignment vertical="center" wrapText="1"/>
    </x:xf>
    <x:xf numFmtId="0" fontId="57" fillId="11" borderId="43" xfId="0" applyFont="1" applyFill="1" applyBorder="1" applyAlignment="1">
      <x:alignment vertical="center" wrapText="1"/>
    </x:xf>
    <x:xf numFmtId="0" fontId="57" fillId="0" borderId="48" xfId="0" applyFont="1" applyBorder="1" applyAlignment="1">
      <x:alignment vertical="center"/>
    </x:xf>
    <x:xf numFmtId="3" fontId="57" fillId="0" borderId="42" xfId="0" applyNumberFormat="1" applyFont="1" applyBorder="1" applyAlignment="1">
      <x:alignment horizontal="center" vertical="center" wrapText="1"/>
    </x:xf>
    <x:xf numFmtId="0" fontId="57" fillId="0" borderId="38" xfId="0" applyFont="1" applyBorder="1" applyAlignment="1">
      <x:alignment vertical="center" wrapText="1"/>
    </x:xf>
    <x:xf numFmtId="0" fontId="57" fillId="0" borderId="39" xfId="0" applyFont="1" applyBorder="1" applyAlignment="1">
      <x:alignment vertical="center" wrapText="1"/>
    </x:xf>
    <x:xf numFmtId="0" fontId="57" fillId="11" borderId="42" xfId="0" applyFont="1" applyFill="1" applyBorder="1" applyAlignment="1">
      <x:alignment vertical="center" wrapText="1"/>
    </x:xf>
    <x:xf numFmtId="0" fontId="57" fillId="11" borderId="39" xfId="0" applyFont="1" applyFill="1" applyBorder="1" applyAlignment="1">
      <x:alignment vertical="center" wrapText="1"/>
    </x:xf>
    <x:xf numFmtId="0" fontId="57" fillId="0" borderId="48" xfId="0" applyFont="1" applyBorder="1" applyAlignment="1">
      <x:alignment vertical="center" wrapText="1"/>
    </x:xf>
    <x:xf numFmtId="9" fontId="57" fillId="0" borderId="42" xfId="0" applyNumberFormat="1" applyFont="1" applyBorder="1" applyAlignment="1">
      <x:alignment horizontal="center" vertical="center" wrapText="1"/>
    </x:xf>
    <x:xf numFmtId="0" fontId="57" fillId="0" borderId="42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/>
    </x:xf>
    <x:xf numFmtId="0" fontId="58" fillId="0" borderId="44" xfId="0" applyFont="1" applyBorder="1" applyAlignment="1">
      <x:alignment vertical="center" wrapText="1"/>
    </x:xf>
    <x:xf numFmtId="0" fontId="57" fillId="0" borderId="44" xfId="0" applyFont="1" applyBorder="1" applyAlignment="1">
      <x:alignment vertical="center"/>
    </x:xf>
    <x:xf numFmtId="0" fontId="57" fillId="0" borderId="45" xfId="0" applyFont="1" applyBorder="1" applyAlignment="1">
      <x:alignment horizontal="justify" vertical="center"/>
    </x:xf>
    <x:xf numFmtId="9" fontId="57" fillId="0" borderId="45" xfId="0" applyNumberFormat="1" applyFont="1" applyBorder="1" applyAlignment="1">
      <x:alignment horizontal="center" vertical="center" wrapText="1"/>
    </x:xf>
    <x:xf numFmtId="0" fontId="57" fillId="0" borderId="50" xfId="0" applyFont="1" applyBorder="1" applyAlignment="1">
      <x:alignment vertical="center"/>
    </x:xf>
    <x:xf numFmtId="0" fontId="57" fillId="0" borderId="45" xfId="0" applyFont="1" applyBorder="1" applyAlignment="1">
      <x:alignment horizontal="left" vertical="center" wrapText="1"/>
    </x:xf>
    <x:xf numFmtId="0" fontId="57" fillId="0" borderId="42" xfId="0" applyFont="1" applyBorder="1" applyAlignment="1">
      <x:alignment horizontal="left" vertical="center" wrapText="1"/>
    </x:xf>
    <x:xf numFmtId="0" fontId="57" fillId="0" borderId="51" xfId="0" applyFont="1" applyBorder="1" applyAlignment="1">
      <x:alignment horizontal="justify" vertical="center"/>
    </x:xf>
    <x:xf numFmtId="9" fontId="57" fillId="0" borderId="52" xfId="0" applyNumberFormat="1" applyFont="1" applyBorder="1" applyAlignment="1">
      <x:alignment horizontal="center" vertical="center" wrapText="1"/>
    </x:xf>
    <x:xf numFmtId="0" fontId="57" fillId="0" borderId="48" xfId="0" applyFont="1" applyBorder="1" applyAlignment="1">
      <x:alignment horizontal="center" vertical="center" wrapText="1"/>
    </x:xf>
    <x:xf numFmtId="0" fontId="57" fillId="0" borderId="53" xfId="0" applyFont="1" applyBorder="1" applyAlignment="1">
      <x:alignment vertical="center" wrapText="1"/>
    </x:xf>
    <x:xf numFmtId="0" fontId="57" fillId="0" borderId="54" xfId="0" applyFont="1" applyBorder="1" applyAlignment="1">
      <x:alignment vertical="center" wrapText="1"/>
    </x:xf>
    <x:xf numFmtId="0" fontId="57" fillId="0" borderId="44" xfId="0" applyFont="1" applyBorder="1" applyAlignment="1">
      <x:alignment horizontal="justify" vertical="center"/>
    </x:xf>
    <x:xf numFmtId="0" fontId="57" fillId="0" borderId="52" xfId="0" applyFont="1" applyBorder="1" applyAlignment="1">
      <x:alignment vertical="center" wrapText="1"/>
    </x:xf>
    <x:xf numFmtId="0" fontId="57" fillId="0" borderId="52" xfId="0" applyFont="1" applyBorder="1" applyAlignment="1">
      <x:alignment horizontal="center" vertical="center" wrapText="1"/>
    </x:xf>
    <x:xf numFmtId="0" fontId="57" fillId="11" borderId="48" xfId="0" applyFont="1" applyFill="1" applyBorder="1" applyAlignment="1">
      <x:alignment vertical="center" wrapText="1"/>
    </x:xf>
    <x:xf numFmtId="0" fontId="57" fillId="0" borderId="16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 wrapText="1"/>
    </x:xf>
    <x:xf numFmtId="0" fontId="57" fillId="0" borderId="36" xfId="0" applyFont="1" applyBorder="1" applyAlignment="1">
      <x:alignment vertical="center" wrapText="1"/>
    </x:xf>
    <x:xf numFmtId="0" fontId="58" fillId="0" borderId="36" xfId="0" applyFont="1" applyBorder="1" applyAlignment="1">
      <x:alignment horizontal="center" vertical="center" wrapText="1"/>
    </x:xf>
    <x:xf numFmtId="0" fontId="58" fillId="0" borderId="39" xfId="0" applyFont="1" applyBorder="1" applyAlignment="1">
      <x:alignment horizontal="center" vertical="center" wrapText="1"/>
    </x:xf>
    <x:xf numFmtId="0" fontId="58" fillId="0" borderId="42" xfId="0" applyFont="1" applyBorder="1" applyAlignment="1">
      <x:alignment horizontal="center" vertical="center" wrapText="1"/>
    </x:xf>
    <x:xf numFmtId="0" fontId="57" fillId="0" borderId="16" xfId="0" applyFont="1" applyBorder="1" applyAlignment="1">
      <x:alignment horizontal="center" vertical="center" wrapText="1"/>
    </x:xf>
    <x:xf numFmtId="0" fontId="57" fillId="0" borderId="49" xfId="0" applyFont="1" applyBorder="1" applyAlignment="1">
      <x:alignment horizontal="center" vertical="center" wrapText="1"/>
    </x:xf>
    <x:xf numFmtId="0" fontId="57" fillId="0" borderId="53" xfId="0" applyFont="1" applyBorder="1" applyAlignment="1">
      <x:alignment horizontal="center" vertical="center" wrapText="1"/>
    </x:xf>
    <x:xf numFmtId="0" fontId="58" fillId="0" borderId="44" xfId="0" applyFont="1" applyBorder="1" applyAlignment="1">
      <x:alignment horizontal="center" vertical="center" wrapText="1"/>
    </x:xf>
    <x:xf numFmtId="0" fontId="58" fillId="0" borderId="58" xfId="0" applyFont="1" applyBorder="1" applyAlignment="1">
      <x:alignment horizontal="center" vertical="center" wrapText="1"/>
    </x:xf>
    <x:xf numFmtId="0" fontId="59" fillId="0" borderId="0" xfId="0" applyFont="1" applyAlignment="1">
      <x:alignment vertical="center" wrapText="1"/>
    </x:xf>
    <x:xf numFmtId="0" fontId="58" fillId="0" borderId="59" xfId="0" applyFont="1" applyBorder="1" applyAlignment="1">
      <x:alignment horizontal="center" vertical="center" wrapText="1"/>
    </x:xf>
    <x:xf numFmtId="0" fontId="58" fillId="0" borderId="60" xfId="0" applyFont="1" applyBorder="1" applyAlignment="1">
      <x:alignment horizontal="center" vertical="center" wrapText="1"/>
    </x:xf>
    <x:xf numFmtId="3" fontId="57" fillId="0" borderId="38" xfId="0" applyNumberFormat="1" applyFont="1" applyBorder="1" applyAlignment="1">
      <x:alignment horizontal="center" vertical="center" wrapText="1"/>
    </x:xf>
    <x:xf numFmtId="0" fontId="58" fillId="0" borderId="61" xfId="0" applyFont="1" applyBorder="1" applyAlignment="1">
      <x:alignment vertical="center" wrapText="1"/>
    </x:xf>
    <x:xf numFmtId="0" fontId="57" fillId="0" borderId="62" xfId="0" applyFont="1" applyBorder="1" applyAlignment="1">
      <x:alignment vertical="center" wrapText="1"/>
    </x:xf>
    <x:xf numFmtId="0" fontId="58" fillId="0" borderId="43" xfId="0" applyFont="1" applyBorder="1" applyAlignment="1">
      <x:alignment horizontal="center" vertical="top" wrapText="1"/>
    </x:xf>
    <x:xf numFmtId="0" fontId="57" fillId="0" borderId="50" xfId="0" applyFont="1" applyBorder="1" applyAlignment="1">
      <x:alignment horizontal="left" vertical="center" wrapText="1"/>
    </x:xf>
    <x:xf numFmtId="0" fontId="57" fillId="0" borderId="65" xfId="0" applyFont="1" applyBorder="1" applyAlignment="1">
      <x:alignment horizontal="center" vertical="center" wrapText="1"/>
    </x:xf>
    <x:xf numFmtId="0" fontId="57" fillId="0" borderId="50" xfId="0" applyFont="1" applyBorder="1" applyAlignment="1">
      <x:alignment horizontal="center" vertical="center" wrapText="1"/>
    </x:xf>
    <x:xf numFmtId="0" fontId="57" fillId="0" borderId="64" xfId="0" applyFont="1" applyBorder="1" applyAlignment="1">
      <x:alignment horizontal="center" vertical="center" wrapText="1"/>
    </x:xf>
    <x:xf numFmtId="0" fontId="57" fillId="0" borderId="63" xfId="0" applyFont="1" applyBorder="1" applyAlignment="1">
      <x:alignment horizontal="center" vertical="center" wrapText="1"/>
    </x:xf>
    <x:xf numFmtId="0" fontId="57" fillId="0" borderId="66" xfId="0" applyFont="1" applyBorder="1" applyAlignment="1">
      <x:alignment horizontal="center" vertical="center" wrapText="1"/>
    </x:xf>
    <x:xf numFmtId="0" fontId="57" fillId="0" borderId="36" xfId="0" applyFont="1" applyBorder="1" applyAlignment="1">
      <x:alignment vertical="center"/>
    </x:xf>
    <x:xf numFmtId="0" fontId="56" fillId="0" borderId="43" xfId="0" applyFont="1" applyBorder="1"/>
    <x:xf numFmtId="0" fontId="56" fillId="0" borderId="43" xfId="0" applyFont="1" applyBorder="1" applyAlignment="1">
      <x:alignment vertical="center"/>
    </x:xf>
    <x:xf numFmtId="0" fontId="38" fillId="0" borderId="67" xfId="2" applyFont="1" applyBorder="1" applyAlignment="1">
      <x:alignment horizontal="center" vertical="top" wrapText="1"/>
    </x:xf>
    <x:xf numFmtId="0" fontId="38" fillId="0" borderId="2" xfId="2" applyFont="1" applyBorder="1" applyAlignment="1">
      <x:alignment horizontal="center" vertical="top"/>
    </x:xf>
    <x:xf numFmtId="0" fontId="38" fillId="0" borderId="20" xfId="2" applyFont="1" applyBorder="1" applyAlignment="1">
      <x:alignment horizontal="left" vertical="top" wrapText="1"/>
    </x:xf>
    <x:xf numFmtId="0" fontId="18" fillId="0" borderId="4" xfId="2" applyFont="1" applyBorder="1" applyAlignment="1">
      <x:alignment horizontal="center" vertical="top"/>
    </x:xf>
    <x:xf numFmtId="0" fontId="18" fillId="0" borderId="2" xfId="2" applyFont="1" applyBorder="1" applyAlignment="1">
      <x:alignment horizontal="center" vertical="top"/>
    </x:xf>
    <x:xf numFmtId="0" fontId="18" fillId="0" borderId="22" xfId="2" applyFont="1" applyBorder="1" applyAlignment="1">
      <x:alignment vertical="top"/>
    </x:xf>
    <x:xf numFmtId="0" fontId="18" fillId="0" borderId="4" xfId="2" applyFont="1" applyBorder="1" applyAlignment="1">
      <x:alignment vertical="top"/>
    </x:xf>
    <x:xf numFmtId="0" fontId="40" fillId="0" borderId="4" xfId="2" applyFont="1" applyBorder="1" applyAlignment="1">
      <x:alignment horizontal="center" vertical="top" wrapText="1"/>
    </x:xf>
    <x:xf numFmtId="0" fontId="18" fillId="0" borderId="4" xfId="2" applyFont="1" applyBorder="1"/>
    <x:xf numFmtId="0" fontId="38" fillId="0" borderId="4" xfId="2" applyFont="1" applyBorder="1" applyAlignment="1">
      <x:alignment horizontal="center" vertical="top"/>
    </x:xf>
    <x:xf numFmtId="0" fontId="24" fillId="0" borderId="0" xfId="0" applyFont="1" applyAlignment="1">
      <x:alignment horizontal="center" vertical="center"/>
    </x:xf>
    <x:xf numFmtId="0" fontId="0" fillId="0" borderId="27" xfId="0" applyBorder="1" applyAlignment="1">
      <x:alignment vertical="center"/>
    </x:xf>
    <x:xf numFmtId="0" fontId="0" fillId="0" borderId="68" xfId="0" applyBorder="1" applyAlignment="1">
      <x:alignment vertical="center"/>
    </x:xf>
    <x:xf numFmtId="0" fontId="0" fillId="0" borderId="34" xfId="0" applyBorder="1" applyAlignment="1">
      <x:alignment vertical="center"/>
    </x:xf>
    <x:xf numFmtId="0" fontId="0" fillId="0" borderId="35" xfId="0" applyBorder="1" applyAlignment="1">
      <x:alignment vertical="center"/>
    </x:xf>
    <x:xf numFmtId="0" fontId="0" fillId="0" borderId="69" xfId="0" applyBorder="1" applyAlignment="1">
      <x:alignment vertical="center"/>
    </x:xf>
    <x:xf numFmtId="0" fontId="0" fillId="0" borderId="70" xfId="0" applyBorder="1" applyAlignment="1">
      <x:alignment vertical="center"/>
    </x:xf>
    <x:xf numFmtId="0" fontId="60" fillId="0" borderId="34" xfId="0" applyFont="1" applyBorder="1" applyAlignment="1">
      <x:alignment horizontal="center" vertical="center"/>
    </x:xf>
    <x:xf numFmtId="0" fontId="60" fillId="0" borderId="27" xfId="0" applyFont="1" applyBorder="1" applyAlignment="1">
      <x:alignment horizontal="center" vertical="center"/>
    </x:xf>
    <x:xf numFmtId="0" fontId="60" fillId="0" borderId="35" xfId="0" applyFont="1" applyBorder="1" applyAlignment="1">
      <x:alignment horizontal="center" vertical="center"/>
    </x:xf>
    <x:xf numFmtId="0" fontId="60" fillId="0" borderId="72" xfId="0" applyFont="1" applyBorder="1" applyAlignment="1">
      <x:alignment horizontal="center" vertical="center" wrapText="1"/>
    </x:xf>
    <x:xf numFmtId="0" fontId="60" fillId="0" borderId="69" xfId="0" applyFont="1" applyBorder="1" applyAlignment="1">
      <x:alignment horizontal="center" vertical="center" wrapText="1"/>
    </x:xf>
    <x:xf numFmtId="0" fontId="18" fillId="0" borderId="17" xfId="2" applyFont="1" applyBorder="1" applyAlignment="1">
      <x:alignment horizontal="left" vertical="top" wrapText="1"/>
    </x:xf>
    <x:xf numFmtId="0" fontId="18" fillId="0" borderId="5" xfId="2" applyFont="1" applyBorder="1" applyAlignment="1">
      <x:alignment vertical="top"/>
    </x:xf>
    <x:xf numFmtId="0" fontId="18" fillId="0" borderId="18" xfId="2" applyFont="1" applyBorder="1" applyAlignment="1">
      <x:alignment horizontal="left" vertical="top" wrapText="1"/>
    </x:xf>
    <x:xf numFmtId="0" fontId="18" fillId="0" borderId="9" xfId="2" applyFont="1" applyBorder="1" applyAlignment="1">
      <x:alignment horizontal="center" vertical="top"/>
    </x:xf>
    <x:xf numFmtId="0" fontId="30" fillId="0" borderId="18" xfId="2" applyFont="1" applyBorder="1" applyAlignment="1">
      <x:alignment horizontal="left"/>
    </x:xf>
    <x:xf numFmtId="0" fontId="30" fillId="0" borderId="9" xfId="2" applyFont="1" applyBorder="1"/>
    <x:xf numFmtId="0" fontId="18" fillId="0" borderId="6" xfId="2" applyFont="1" applyBorder="1" applyAlignment="1">
      <x:alignment vertical="top"/>
    </x:xf>
    <x:xf numFmtId="0" fontId="18" fillId="0" borderId="9" xfId="2" applyFont="1" applyBorder="1" applyAlignment="1">
      <x:alignment horizontal="center" vertical="center"/>
    </x:xf>
    <x:xf numFmtId="0" fontId="42" fillId="0" borderId="7" xfId="2" applyFont="1" applyBorder="1" applyAlignment="1">
      <x:alignment vertical="center" wrapText="1"/>
    </x:xf>
    <x:xf numFmtId="0" fontId="38" fillId="0" borderId="7" xfId="2" applyFont="1" applyBorder="1" applyAlignment="1">
      <x:alignment vertical="top"/>
    </x:xf>
    <x:xf numFmtId="0" fontId="30" fillId="0" borderId="4" xfId="2" applyFont="1" applyBorder="1"/>
    <x:xf numFmtId="0" fontId="38" fillId="0" borderId="4" xfId="2" applyFont="1" applyBorder="1" applyAlignment="1">
      <x:alignment horizontal="center"/>
    </x:xf>
    <x:xf numFmtId="165" fontId="18" fillId="0" borderId="6" xfId="1" applyFont="1" applyBorder="1" applyAlignment="1">
      <x:alignment vertical="top"/>
    </x:xf>
    <x:xf numFmtId="165" fontId="18" fillId="0" borderId="17" xfId="1" applyFont="1" applyBorder="1" applyAlignment="1">
      <x:alignment vertical="top"/>
    </x:xf>
    <x:xf numFmtId="0" fontId="18" fillId="0" borderId="6" xfId="2" applyFont="1" applyBorder="1" applyAlignment="1">
      <x:alignment horizontal="left" vertical="top" wrapText="1"/>
    </x:xf>
    <x:xf numFmtId="0" fontId="42" fillId="0" borderId="5" xfId="2" applyFont="1" applyBorder="1" applyAlignment="1">
      <x:alignment horizontal="center" vertical="top" wrapText="1"/>
    </x:xf>
    <x:xf numFmtId="0" fontId="42" fillId="0" borderId="16" xfId="2" applyFont="1" applyAlignment="1">
      <x:alignment vertical="top"/>
    </x:xf>
    <x:xf numFmtId="168" fontId="42" fillId="0" borderId="5" xfId="2" applyNumberFormat="1" applyFont="1" applyBorder="1" applyAlignment="1">
      <x:alignment vertical="top"/>
    </x:xf>
    <x:xf numFmtId="0" fontId="42" fillId="0" borderId="11" xfId="2" applyFont="1" applyBorder="1" applyAlignment="1">
      <x:alignment vertical="top"/>
    </x:xf>
    <x:xf numFmtId="0" fontId="1" fillId="0" borderId="4" xfId="2" applyBorder="1"/>
    <x:xf numFmtId="0" fontId="1" fillId="0" borderId="4" xfId="2" applyBorder="1" applyAlignment="1">
      <x:alignment horizontal="center"/>
    </x:xf>
    <x:xf numFmtId="0" fontId="36" fillId="0" borderId="4" xfId="2" applyFont="1" applyBorder="1"/>
    <x:xf numFmtId="0" fontId="1" fillId="0" borderId="4" xfId="2" applyBorder="1" applyAlignment="1">
      <x:alignment wrapText="1"/>
    </x:xf>
    <x:xf numFmtId="0" fontId="1" fillId="0" borderId="4" xfId="2" applyBorder="1" applyAlignment="1">
      <x:alignment vertical="top"/>
    </x:xf>
    <x:xf numFmtId="0" fontId="1" fillId="0" borderId="4" xfId="2" applyBorder="1" applyAlignment="1">
      <x:alignment horizontal="left" vertical="top"/>
    </x:xf>
    <x:xf numFmtId="0" fontId="19" fillId="0" borderId="13" xfId="0" applyFont="1" applyBorder="1" applyAlignment="1">
      <x:alignment horizontal="center" vertical="top" wrapText="1"/>
    </x:xf>
    <x:xf numFmtId="0" fontId="20" fillId="0" borderId="16" xfId="0" applyFont="1" applyBorder="1" applyAlignment="1">
      <x:alignment horizontal="center" vertical="top" wrapText="1"/>
    </x:xf>
    <x:xf numFmtId="0" fontId="20" fillId="0" borderId="11" xfId="0" applyFont="1" applyBorder="1" applyAlignment="1">
      <x:alignment horizontal="center" vertical="top" wrapText="1"/>
    </x:xf>
    <x:xf numFmtId="0" fontId="22" fillId="0" borderId="2" xfId="0" applyFont="1" applyBorder="1" applyAlignment="1">
      <x:alignment vertical="top" wrapText="1"/>
    </x:xf>
    <x:xf numFmtId="0" fontId="22" fillId="0" borderId="9" xfId="0" applyFont="1" applyBorder="1" applyAlignment="1">
      <x:alignment vertical="top" wrapText="1"/>
    </x:xf>
    <x:xf numFmtId="0" fontId="3" fillId="0" borderId="2" xfId="0" applyFont="1" applyBorder="1" applyAlignment="1">
      <x:alignment horizontal="left" vertical="top" wrapText="1"/>
    </x:xf>
    <x:xf numFmtId="0" fontId="2" fillId="0" borderId="2" xfId="0" applyFont="1" applyBorder="1" applyAlignment="1">
      <x:alignment vertical="center"/>
    </x:xf>
    <x:xf numFmtId="0" fontId="2" fillId="5" borderId="0" xfId="0" applyFont="1" applyFill="1" applyAlignment="1">
      <x:alignment vertical="center"/>
    </x:xf>
    <x:xf numFmtId="0" fontId="65" fillId="12" borderId="16" xfId="2" applyFont="1" applyFill="1" applyAlignment="1">
      <x:alignment horizontal="center"/>
    </x:xf>
    <x:xf numFmtId="0" fontId="66" fillId="12" borderId="16" xfId="2" applyFont="1" applyFill="1" applyAlignment="1">
      <x:alignment wrapText="1"/>
    </x:xf>
    <x:xf numFmtId="0" fontId="66" fillId="12" borderId="16" xfId="2" applyFont="1" applyFill="1"/>
    <x:xf numFmtId="0" fontId="66" fillId="12" borderId="16" xfId="2" applyFont="1" applyFill="1" applyAlignment="1">
      <x:alignment horizontal="center"/>
    </x:xf>
    <x:xf numFmtId="0" fontId="67" fillId="12" borderId="16" xfId="4" applyFont="1" applyFill="1" applyAlignment="1">
      <x:alignment horizontal="center" vertical="center" wrapText="1"/>
    </x:xf>
    <x:xf numFmtId="0" fontId="66" fillId="12" borderId="16" xfId="2" applyFont="1" applyFill="1" applyAlignment="1">
      <x:alignment horizontal="center" vertical="top"/>
    </x:xf>
    <x:xf numFmtId="9" fontId="65" fillId="13" borderId="27" xfId="6" applyFont="1" applyFill="1" applyBorder="1" applyAlignment="1">
      <x:alignment horizontal="center" vertical="center" wrapText="1"/>
    </x:xf>
    <x:xf numFmtId="0" fontId="66" fillId="13" borderId="16" xfId="2" applyFont="1" applyFill="1" applyAlignment="1">
      <x:alignment vertical="center"/>
    </x:xf>
    <x:xf numFmtId="0" fontId="68" fillId="13" borderId="32" xfId="2" applyFont="1" applyFill="1" applyBorder="1" applyAlignment="1">
      <x:alignment horizontal="center"/>
    </x:xf>
    <x:xf numFmtId="0" fontId="68" fillId="13" borderId="32" xfId="2" applyFont="1" applyFill="1" applyBorder="1" applyAlignment="1">
      <x:alignment horizontal="center" wrapText="1"/>
    </x:xf>
    <x:xf numFmtId="0" fontId="67" fillId="13" borderId="32" xfId="4" applyFont="1" applyFill="1" applyBorder="1" applyAlignment="1">
      <x:alignment horizontal="center" wrapText="1"/>
    </x:xf>
    <x:xf numFmtId="0" fontId="68" fillId="13" borderId="27" xfId="2" applyFont="1" applyFill="1" applyBorder="1" applyAlignment="1">
      <x:alignment horizontal="center" wrapText="1"/>
    </x:xf>
    <x:xf numFmtId="0" fontId="68" fillId="13" borderId="16" xfId="2" applyFont="1" applyFill="1" applyAlignment="1">
      <x:alignment horizontal="center"/>
    </x:xf>
    <x:xf numFmtId="0" fontId="66" fillId="12" borderId="32" xfId="2" applyFont="1" applyFill="1" applyBorder="1" applyAlignment="1">
      <x:alignment horizontal="center" vertical="center"/>
    </x:xf>
    <x:xf numFmtId="0" fontId="66" fillId="12" borderId="32" xfId="2" applyFont="1" applyFill="1" applyBorder="1" applyAlignment="1">
      <x:alignment vertical="center" wrapText="1"/>
    </x:xf>
    <x:xf numFmtId="0" fontId="67" fillId="12" borderId="27" xfId="4" applyFont="1" applyFill="1" applyBorder="1" applyAlignment="1">
      <x:alignment horizontal="center" vertical="center" wrapText="1"/>
    </x:xf>
    <x:xf numFmtId="0" fontId="66" fillId="12" borderId="32" xfId="2" applyFont="1" applyFill="1" applyBorder="1" applyAlignment="1">
      <x:alignment horizontal="center" vertical="center" wrapText="1"/>
    </x:xf>
    <x:xf numFmtId="0" fontId="66" fillId="12" borderId="27" xfId="2" applyFont="1" applyFill="1" applyBorder="1" applyAlignment="1">
      <x:alignment horizontal="center" vertical="center"/>
    </x:xf>
    <x:xf numFmtId="0" fontId="66" fillId="12" borderId="27" xfId="2" applyFont="1" applyFill="1" applyBorder="1" applyAlignment="1">
      <x:alignment horizontal="center" vertical="center" wrapText="1"/>
    </x:xf>
    <x:xf numFmtId="0" fontId="66" fillId="12" borderId="72" xfId="2" applyFont="1" applyFill="1" applyBorder="1" applyAlignment="1">
      <x:alignment horizontal="right" vertical="center"/>
    </x:xf>
    <x:xf numFmtId="0" fontId="66" fillId="12" borderId="27" xfId="2" applyFont="1" applyFill="1" applyBorder="1" applyAlignment="1">
      <x:alignment horizontal="right" vertical="center"/>
    </x:xf>
    <x:xf numFmtId="0" fontId="66" fillId="12" borderId="27" xfId="2" applyFont="1" applyFill="1" applyBorder="1" applyAlignment="1">
      <x:alignment vertical="center" wrapText="1"/>
    </x:xf>
    <x:xf numFmtId="0" fontId="66" fillId="12" borderId="16" xfId="2" applyFont="1" applyFill="1" applyAlignment="1">
      <x:alignment vertical="center"/>
    </x:xf>
    <x:xf numFmtId="0" fontId="66" fillId="12" borderId="27" xfId="2" applyFont="1" applyFill="1" applyBorder="1" applyAlignment="1">
      <x:alignment vertical="center"/>
    </x:xf>
    <x:xf numFmtId="0" fontId="66" fillId="12" borderId="69" xfId="2" applyFont="1" applyFill="1" applyBorder="1" applyAlignment="1">
      <x:alignment vertical="center"/>
    </x:xf>
    <x:xf numFmtId="0" fontId="66" fillId="12" borderId="69" xfId="2" applyFont="1" applyFill="1" applyBorder="1" applyAlignment="1">
      <x:alignment horizontal="right" vertical="center"/>
    </x:xf>
    <x:xf numFmtId="0" fontId="67" fillId="12" borderId="27" xfId="4" applyFont="1" applyFill="1" applyBorder="1" applyAlignment="1">
      <x:alignment horizontal="center" vertical="center"/>
    </x:xf>
    <x:xf numFmtId="41" fontId="69" fillId="12" borderId="27" xfId="7" applyNumberFormat="1" applyFont="1" applyFill="1" applyBorder="1" applyAlignment="1">
      <x:alignment vertical="center" wrapText="1"/>
    </x:xf>
    <x:xf numFmtId="41" fontId="70" fillId="12" borderId="27" xfId="7" applyNumberFormat="1" applyFont="1" applyFill="1" applyBorder="1" applyAlignment="1">
      <x:alignment vertical="center" wrapText="1"/>
    </x:xf>
    <x:xf numFmtId="0" fontId="66" fillId="14" borderId="27" xfId="2" applyFont="1" applyFill="1" applyBorder="1" applyAlignment="1">
      <x:alignment horizontal="center" vertical="center"/>
    </x:xf>
    <x:xf numFmtId="0" fontId="66" fillId="14" borderId="27" xfId="2" applyFont="1" applyFill="1" applyBorder="1" applyAlignment="1">
      <x:alignment vertical="center" wrapText="1"/>
    </x:xf>
    <x:xf numFmtId="41" fontId="69" fillId="14" borderId="27" xfId="7" applyNumberFormat="1" applyFont="1" applyFill="1" applyBorder="1" applyAlignment="1">
      <x:alignment vertical="center" wrapText="1"/>
    </x:xf>
    <x:xf numFmtId="0" fontId="67" fillId="14" borderId="27" xfId="4" applyFont="1" applyFill="1" applyBorder="1" applyAlignment="1">
      <x:alignment horizontal="center" vertical="center" wrapText="1"/>
    </x:xf>
    <x:xf numFmtId="0" fontId="66" fillId="14" borderId="27" xfId="2" applyFont="1" applyFill="1" applyBorder="1" applyAlignment="1">
      <x:alignment horizontal="center" vertical="center" wrapText="1"/>
    </x:xf>
    <x:xf numFmtId="0" fontId="66" fillId="14" borderId="69" xfId="2" applyFont="1" applyFill="1" applyBorder="1" applyAlignment="1">
      <x:alignment horizontal="right" vertical="center"/>
    </x:xf>
    <x:xf numFmtId="0" fontId="66" fillId="14" borderId="27" xfId="2" applyFont="1" applyFill="1" applyBorder="1" applyAlignment="1">
      <x:alignment horizontal="right" vertical="center"/>
    </x:xf>
    <x:xf numFmtId="0" fontId="66" fillId="14" borderId="16" xfId="2" applyFont="1" applyFill="1" applyAlignment="1">
      <x:alignment vertical="center"/>
    </x:xf>
    <x:xf numFmtId="0" fontId="69" fillId="14" borderId="27" xfId="2" applyFont="1" applyFill="1" applyBorder="1" applyAlignment="1">
      <x:alignment vertical="center" wrapText="1"/>
    </x:xf>
    <x:xf numFmtId="0" fontId="69" fillId="12" borderId="27" xfId="2" applyFont="1" applyFill="1" applyBorder="1" applyAlignment="1">
      <x:alignment vertical="center" wrapText="1"/>
    </x:xf>
    <x:xf numFmtId="0" fontId="66" fillId="3" borderId="27" xfId="2" applyFont="1" applyFill="1" applyBorder="1" applyAlignment="1">
      <x:alignment horizontal="center" vertical="center"/>
    </x:xf>
    <x:xf numFmtId="0" fontId="66" fillId="3" borderId="27" xfId="2" applyFont="1" applyFill="1" applyBorder="1" applyAlignment="1">
      <x:alignment vertical="center" wrapText="1"/>
    </x:xf>
    <x:xf numFmtId="41" fontId="69" fillId="3" borderId="27" xfId="7" applyNumberFormat="1" applyFont="1" applyFill="1" applyBorder="1" applyAlignment="1">
      <x:alignment vertical="center" wrapText="1"/>
    </x:xf>
    <x:xf numFmtId="0" fontId="67" fillId="3" borderId="27" xfId="4" applyFont="1" applyFill="1" applyBorder="1" applyAlignment="1">
      <x:alignment horizontal="center" vertical="center" wrapText="1"/>
    </x:xf>
    <x:xf numFmtId="0" fontId="66" fillId="3" borderId="27" xfId="2" applyFont="1" applyFill="1" applyBorder="1" applyAlignment="1">
      <x:alignment horizontal="center" vertical="center" wrapText="1"/>
    </x:xf>
    <x:xf numFmtId="0" fontId="66" fillId="3" borderId="69" xfId="2" applyFont="1" applyFill="1" applyBorder="1" applyAlignment="1">
      <x:alignment horizontal="right" vertical="center"/>
    </x:xf>
    <x:xf numFmtId="0" fontId="66" fillId="3" borderId="27" xfId="2" applyFont="1" applyFill="1" applyBorder="1" applyAlignment="1">
      <x:alignment horizontal="right" vertical="center"/>
    </x:xf>
    <x:xf numFmtId="0" fontId="66" fillId="3" borderId="16" xfId="2" applyFont="1" applyFill="1" applyAlignment="1">
      <x:alignment vertical="center"/>
    </x:xf>
    <x:xf numFmtId="0" fontId="66" fillId="12" borderId="25" xfId="2" applyFont="1" applyFill="1" applyBorder="1" applyAlignment="1">
      <x:alignment horizontal="center" vertical="center"/>
    </x:xf>
    <x:xf numFmtId="0" fontId="66" fillId="12" borderId="25" xfId="2" applyFont="1" applyFill="1" applyBorder="1" applyAlignment="1">
      <x:alignment vertical="center" wrapText="1"/>
    </x:xf>
    <x:xf numFmtId="0" fontId="67" fillId="12" borderId="25" xfId="4" applyFont="1" applyFill="1" applyBorder="1" applyAlignment="1">
      <x:alignment horizontal="center" vertical="center" wrapText="1"/>
    </x:xf>
    <x:xf numFmtId="0" fontId="66" fillId="12" borderId="25" xfId="2" applyFont="1" applyFill="1" applyBorder="1" applyAlignment="1">
      <x:alignment horizontal="center" vertical="center" wrapText="1"/>
    </x:xf>
    <x:xf numFmtId="0" fontId="66" fillId="12" borderId="27" xfId="2" applyFont="1" applyFill="1" applyBorder="1" applyAlignment="1">
      <x:alignment horizontal="center" vertical="top"/>
    </x:xf>
    <x:xf numFmtId="0" fontId="69" fillId="3" borderId="27" xfId="2" applyFont="1" applyFill="1" applyBorder="1" applyAlignment="1">
      <x:alignment vertical="center" wrapText="1"/>
    </x:xf>
    <x:xf numFmtId="0" fontId="66" fillId="3" borderId="32" xfId="2" applyFont="1" applyFill="1" applyBorder="1" applyAlignment="1">
      <x:alignment horizontal="center" vertical="center"/>
    </x:xf>
    <x:xf numFmtId="0" fontId="66" fillId="3" borderId="32" xfId="2" applyFont="1" applyFill="1" applyBorder="1" applyAlignment="1">
      <x:alignment vertical="center" wrapText="1"/>
    </x:xf>
    <x:xf numFmtId="0" fontId="69" fillId="3" borderId="16" xfId="2" applyFont="1" applyFill="1" applyAlignment="1">
      <x:alignment vertical="center" wrapText="1"/>
    </x:xf>
    <x:xf numFmtId="0" fontId="67" fillId="3" borderId="32" xfId="4" applyFont="1" applyFill="1" applyBorder="1" applyAlignment="1">
      <x:alignment horizontal="center" vertical="center" wrapText="1"/>
    </x:xf>
    <x:xf numFmtId="0" fontId="66" fillId="3" borderId="32" xfId="2" applyFont="1" applyFill="1" applyBorder="1" applyAlignment="1">
      <x:alignment horizontal="center" vertical="center" wrapText="1"/>
    </x:xf>
    <x:xf numFmtId="0" fontId="66" fillId="3" borderId="72" xfId="2" applyFont="1" applyFill="1" applyBorder="1" applyAlignment="1">
      <x:alignment horizontal="right" vertical="center"/>
    </x:xf>
    <x:xf numFmtId="0" fontId="66" fillId="3" borderId="32" xfId="2" applyFont="1" applyFill="1" applyBorder="1" applyAlignment="1">
      <x:alignment horizontal="right" vertical="center"/>
    </x:xf>
    <x:xf numFmtId="0" fontId="66" fillId="12" borderId="16" xfId="2" applyFont="1" applyFill="1" applyAlignment="1">
      <x:alignment vertical="center" wrapText="1"/>
    </x:xf>
    <x:xf numFmtId="0" fontId="71" fillId="12" borderId="27" xfId="2" applyFont="1" applyFill="1" applyBorder="1" applyAlignment="1">
      <x:alignment horizontal="center" vertical="center"/>
    </x:xf>
    <x:xf numFmtId="0" fontId="71" fillId="12" borderId="27" xfId="2" applyFont="1" applyFill="1" applyBorder="1" applyAlignment="1">
      <x:alignment vertical="center" wrapText="1"/>
    </x:xf>
    <x:xf numFmtId="41" fontId="71" fillId="12" borderId="27" xfId="7" applyNumberFormat="1" applyFont="1" applyFill="1" applyBorder="1" applyAlignment="1">
      <x:alignment vertical="center" wrapText="1"/>
    </x:xf>
    <x:xf numFmtId="0" fontId="72" fillId="12" borderId="27" xfId="4" applyFont="1" applyFill="1" applyBorder="1" applyAlignment="1">
      <x:alignment horizontal="center" vertical="center" wrapText="1"/>
    </x:xf>
    <x:xf numFmtId="0" fontId="71" fillId="12" borderId="27" xfId="2" applyFont="1" applyFill="1" applyBorder="1" applyAlignment="1">
      <x:alignment horizontal="center" vertical="center" wrapText="1"/>
    </x:xf>
    <x:xf numFmtId="0" fontId="71" fillId="12" borderId="69" xfId="2" applyFont="1" applyFill="1" applyBorder="1" applyAlignment="1">
      <x:alignment horizontal="right" vertical="center"/>
    </x:xf>
    <x:xf numFmtId="0" fontId="71" fillId="12" borderId="27" xfId="2" applyFont="1" applyFill="1" applyBorder="1" applyAlignment="1">
      <x:alignment horizontal="right" vertical="center"/>
    </x:xf>
    <x:xf numFmtId="0" fontId="71" fillId="12" borderId="16" xfId="2" applyFont="1" applyFill="1" applyAlignment="1">
      <x:alignment vertical="center"/>
    </x:xf>
    <x:xf numFmtId="0" fontId="66" fillId="3" borderId="27" xfId="2" applyFont="1" applyFill="1" applyBorder="1" applyAlignment="1">
      <x:alignment vertical="center"/>
    </x:xf>
    <x:xf numFmtId="0" fontId="66" fillId="12" borderId="32" xfId="2" applyFont="1" applyFill="1" applyBorder="1" applyAlignment="1">
      <x:alignment horizontal="center" vertical="top"/>
    </x:xf>
    <x:xf numFmtId="41" fontId="69" fillId="3" borderId="27" xfId="7" applyNumberFormat="1" applyFont="1" applyFill="1" applyBorder="1" applyAlignment="1">
      <x:alignment horizontal="left" vertical="center" wrapText="1"/>
    </x:xf>
    <x:xf numFmtId="0" fontId="66" fillId="3" borderId="69" xfId="2" applyFont="1" applyFill="1" applyBorder="1" applyAlignment="1">
      <x:alignment vertical="center"/>
    </x:xf>
    <x:xf numFmtId="0" fontId="66" fillId="14" borderId="69" xfId="2" applyFont="1" applyFill="1" applyBorder="1" applyAlignment="1">
      <x:alignment vertical="center"/>
    </x:xf>
    <x:xf numFmtId="0" fontId="66" fillId="14" borderId="27" xfId="2" applyFont="1" applyFill="1" applyBorder="1" applyAlignment="1">
      <x:alignment vertical="center"/>
    </x:xf>
    <x:xf numFmtId="41" fontId="69" fillId="3" borderId="25" xfId="8" applyNumberFormat="1" applyFont="1" applyFill="1" applyBorder="1" applyAlignment="1">
      <x:alignment vertical="center" wrapText="1"/>
    </x:xf>
    <x:xf numFmtId="41" fontId="69" fillId="3" borderId="33" xfId="8" applyNumberFormat="1" applyFont="1" applyFill="1" applyBorder="1" applyAlignment="1">
      <x:alignment vertical="center" wrapText="1"/>
    </x:xf>
    <x:xf numFmtId="0" fontId="69" fillId="3" borderId="32" xfId="9" applyFont="1" applyFill="1" applyBorder="1" applyAlignment="1">
      <x:alignment vertical="center" wrapText="1"/>
    </x:xf>
    <x:xf numFmtId="0" fontId="66" fillId="15" borderId="27" xfId="2" applyFont="1" applyFill="1" applyBorder="1" applyAlignment="1">
      <x:alignment horizontal="center" vertical="center"/>
    </x:xf>
    <x:xf numFmtId="0" fontId="66" fillId="15" borderId="27" xfId="2" applyFont="1" applyFill="1" applyBorder="1" applyAlignment="1">
      <x:alignment vertical="center" wrapText="1"/>
    </x:xf>
    <x:xf numFmtId="41" fontId="69" fillId="15" borderId="27" xfId="8" applyNumberFormat="1" applyFont="1" applyFill="1" applyBorder="1" applyAlignment="1">
      <x:alignment vertical="center" wrapText="1"/>
    </x:xf>
    <x:xf numFmtId="0" fontId="67" fillId="15" borderId="27" xfId="4" applyFont="1" applyFill="1" applyBorder="1" applyAlignment="1">
      <x:alignment horizontal="center" vertical="center" wrapText="1"/>
    </x:xf>
    <x:xf numFmtId="0" fontId="66" fillId="15" borderId="27" xfId="2" applyFont="1" applyFill="1" applyBorder="1" applyAlignment="1">
      <x:alignment horizontal="center" vertical="center" wrapText="1"/>
    </x:xf>
    <x:xf numFmtId="0" fontId="66" fillId="15" borderId="69" xfId="2" applyFont="1" applyFill="1" applyBorder="1" applyAlignment="1">
      <x:alignment vertical="center"/>
    </x:xf>
    <x:xf numFmtId="0" fontId="66" fillId="15" borderId="27" xfId="2" applyFont="1" applyFill="1" applyBorder="1" applyAlignment="1">
      <x:alignment vertical="center"/>
    </x:xf>
    <x:xf numFmtId="0" fontId="66" fillId="15" borderId="16" xfId="2" applyFont="1" applyFill="1" applyAlignment="1">
      <x:alignment vertical="center"/>
    </x:xf>
    <x:xf numFmtId="0" fontId="66" fillId="12" borderId="27" xfId="4" applyFont="1" applyFill="1" applyBorder="1" applyAlignment="1">
      <x:alignment vertical="center" wrapText="1"/>
    </x:xf>
    <x:xf numFmtId="0" fontId="69" fillId="14" borderId="27" xfId="2" applyFont="1" applyFill="1" applyBorder="1" applyAlignment="1">
      <x:alignment horizontal="center" vertical="center"/>
    </x:xf>
    <x:xf numFmtId="41" fontId="69" fillId="14" borderId="26" xfId="8" applyNumberFormat="1" applyFont="1" applyFill="1" applyBorder="1" applyAlignment="1">
      <x:alignment vertical="center" wrapText="1"/>
    </x:xf>
    <x:xf numFmtId="0" fontId="69" fillId="14" borderId="27" xfId="2" applyFont="1" applyFill="1" applyBorder="1" applyAlignment="1">
      <x:alignment horizontal="center" vertical="center" wrapText="1"/>
    </x:xf>
    <x:xf numFmtId="0" fontId="69" fillId="14" borderId="69" xfId="2" applyFont="1" applyFill="1" applyBorder="1" applyAlignment="1">
      <x:alignment vertical="center"/>
    </x:xf>
    <x:xf numFmtId="0" fontId="69" fillId="14" borderId="27" xfId="2" applyFont="1" applyFill="1" applyBorder="1" applyAlignment="1">
      <x:alignment vertical="center"/>
    </x:xf>
    <x:xf numFmtId="0" fontId="69" fillId="14" borderId="16" xfId="2" applyFont="1" applyFill="1" applyAlignment="1">
      <x:alignment vertical="center"/>
    </x:xf>
    <x:xf numFmtId="41" fontId="69" fillId="12" borderId="25" xfId="8" applyNumberFormat="1" applyFont="1" applyFill="1" applyBorder="1" applyAlignment="1">
      <x:alignment vertical="center" wrapText="1"/>
    </x:xf>
    <x:xf numFmtId="0" fontId="74" fillId="12" borderId="27" xfId="8" applyNumberFormat="1" applyFont="1" applyFill="1" applyBorder="1" applyAlignment="1">
      <x:alignment vertical="center" wrapText="1"/>
    </x:xf>
    <x:xf numFmtId="41" fontId="71" fillId="12" borderId="25" xfId="8" applyNumberFormat="1" applyFont="1" applyFill="1" applyBorder="1" applyAlignment="1">
      <x:alignment vertical="center" wrapText="1"/>
    </x:xf>
    <x:xf numFmtId="0" fontId="71" fillId="12" borderId="69" xfId="2" applyFont="1" applyFill="1" applyBorder="1" applyAlignment="1">
      <x:alignment vertical="center"/>
    </x:xf>
    <x:xf numFmtId="0" fontId="71" fillId="12" borderId="27" xfId="2" applyFont="1" applyFill="1" applyBorder="1" applyAlignment="1">
      <x:alignment vertical="center"/>
    </x:xf>
    <x:xf numFmtId="41" fontId="69" fillId="12" borderId="27" xfId="8" applyNumberFormat="1" applyFont="1" applyFill="1" applyBorder="1" applyAlignment="1">
      <x:alignment vertical="center" wrapText="1"/>
    </x:xf>
    <x:xf numFmtId="0" fontId="69" fillId="12" borderId="27" xfId="9" applyFont="1" applyFill="1" applyBorder="1" applyAlignment="1">
      <x:alignment vertical="center" wrapText="1"/>
    </x:xf>
    <x:xf numFmtId="0" fontId="66" fillId="12" borderId="27" xfId="2" applyFont="1" applyFill="1" applyBorder="1" applyAlignment="1">
      <x:alignment horizontal="center"/>
    </x:xf>
    <x:xf numFmtId="0" fontId="66" fillId="12" borderId="27" xfId="2" applyFont="1" applyFill="1" applyBorder="1" applyAlignment="1">
      <x:alignment wrapText="1"/>
    </x:xf>
    <x:xf numFmtId="0" fontId="74" fillId="12" borderId="27" xfId="2" applyFont="1" applyFill="1" applyBorder="1" applyAlignment="1">
      <x:alignment vertical="center" wrapText="1"/>
    </x:xf>
    <x:xf numFmtId="0" fontId="66" fillId="12" borderId="27" xfId="2" applyFont="1" applyFill="1" applyBorder="1"/>
    <x:xf numFmtId="0" fontId="75" fillId="12" borderId="27" xfId="2" applyFont="1" applyFill="1" applyBorder="1" applyAlignment="1">
      <x:alignment vertical="center" wrapText="1"/>
    </x:xf>
    <x:xf numFmtId="0" fontId="65" fillId="12" borderId="16" xfId="2" applyFont="1" applyFill="1" applyAlignment="1">
      <x:alignment vertical="top" wrapText="1"/>
    </x:xf>
    <x:xf numFmtId="0" fontId="77" fillId="13" borderId="27" xfId="2" applyFont="1" applyFill="1" applyBorder="1" applyAlignment="1">
      <x:alignment vertical="top"/>
    </x:xf>
    <x:xf numFmtId="0" fontId="66" fillId="16" borderId="27" xfId="2" applyFont="1" applyFill="1" applyBorder="1" applyAlignment="1">
      <x:alignment vertical="top"/>
    </x:xf>
    <x:xf numFmtId="0" fontId="66" fillId="12" borderId="16" xfId="2" applyFont="1" applyFill="1" applyAlignment="1">
      <x:alignment vertical="top" wrapText="1"/>
    </x:xf>
    <x:xf numFmtId="0" fontId="66" fillId="12" borderId="16" xfId="2" applyFont="1" applyFill="1" applyAlignment="1">
      <x:alignment vertical="top"/>
    </x:xf>
    <x:xf numFmtId="0" fontId="77" fillId="12" borderId="27" xfId="2" applyFont="1" applyFill="1" applyBorder="1" applyAlignment="1">
      <x:alignment vertical="top"/>
    </x:xf>
    <x:xf numFmtId="0" fontId="66" fillId="12" borderId="27" xfId="2" applyFont="1" applyFill="1" applyBorder="1" applyAlignment="1">
      <x:alignment vertical="top"/>
    </x:xf>
    <x:xf numFmtId="0" fontId="66" fillId="3" borderId="16" xfId="2" applyFont="1" applyFill="1" applyAlignment="1">
      <x:alignment horizontal="center" vertical="top"/>
    </x:xf>
    <x:xf numFmtId="0" fontId="66" fillId="3" borderId="27" xfId="2" applyFont="1" applyFill="1" applyBorder="1" applyAlignment="1">
      <x:alignment horizontal="center" vertical="top"/>
    </x:xf>
    <x:xf numFmtId="0" fontId="77" fillId="3" borderId="27" xfId="2" applyFont="1" applyFill="1" applyBorder="1" applyAlignment="1">
      <x:alignment vertical="top" wrapText="1"/>
    </x:xf>
    <x:xf numFmtId="0" fontId="66" fillId="3" borderId="27" xfId="2" applyFont="1" applyFill="1" applyBorder="1" applyAlignment="1">
      <x:alignment vertical="top"/>
    </x:xf>
    <x:xf numFmtId="0" fontId="66" fillId="3" borderId="16" xfId="2" applyFont="1" applyFill="1" applyAlignment="1">
      <x:alignment vertical="top" wrapText="1"/>
    </x:xf>
    <x:xf numFmtId="0" fontId="66" fillId="3" borderId="16" xfId="2" applyFont="1" applyFill="1" applyAlignment="1">
      <x:alignment vertical="top"/>
    </x:xf>
    <x:xf numFmtId="0" fontId="77" fillId="13" borderId="32" xfId="2" applyFont="1" applyFill="1" applyBorder="1" applyAlignment="1">
      <x:alignment vertical="top" wrapText="1"/>
    </x:xf>
    <x:xf numFmtId="0" fontId="66" fillId="12" borderId="32" xfId="2" applyFont="1" applyFill="1" applyBorder="1" applyAlignment="1">
      <x:alignment vertical="top"/>
    </x:xf>
    <x:xf numFmtId="0" fontId="76" fillId="13" borderId="27" xfId="2" applyFont="1" applyFill="1" applyBorder="1" applyAlignment="1">
      <x:alignment vertical="top" wrapText="1"/>
    </x:xf>
    <x:xf numFmtId="0" fontId="66" fillId="13" borderId="27" xfId="2" applyFont="1" applyFill="1" applyBorder="1" applyAlignment="1">
      <x:alignment horizontal="center" vertical="top"/>
    </x:xf>
    <x:xf numFmtId="0" fontId="77" fillId="16" borderId="27" xfId="2" applyFont="1" applyFill="1" applyBorder="1" applyAlignment="1">
      <x:alignment vertical="top"/>
    </x:xf>
    <x:xf numFmtId="0" fontId="66" fillId="12" borderId="27" xfId="2" applyFont="1" applyFill="1" applyBorder="1" applyAlignment="1">
      <x:alignment vertical="top" wrapText="1"/>
    </x:xf>
    <x:xf numFmtId="0" fontId="77" fillId="12" borderId="27" xfId="2" applyFont="1" applyFill="1" applyBorder="1" applyAlignment="1">
      <x:alignment horizontal="left" vertical="top" wrapText="1"/>
    </x:xf>
    <x:xf numFmtId="0" fontId="66" fillId="3" borderId="27" xfId="2" applyFont="1" applyFill="1" applyBorder="1" applyAlignment="1">
      <x:alignment vertical="top" wrapText="1"/>
    </x:xf>
    <x:xf numFmtId="0" fontId="77" fillId="3" borderId="27" xfId="2" applyFont="1" applyFill="1" applyBorder="1" applyAlignment="1">
      <x:alignment horizontal="left" vertical="top" wrapText="1"/>
    </x:xf>
    <x:xf numFmtId="0" fontId="78" fillId="12" borderId="16" xfId="4" applyFont="1" applyFill="1" applyAlignment="1">
      <x:alignment horizontal="center" vertical="center"/>
    </x:xf>
    <x:xf numFmtId="0" fontId="69" fillId="12" borderId="16" xfId="10" applyFont="1" applyFill="1">
      <x:alignment vertical="center"/>
    </x:xf>
    <x:xf numFmtId="0" fontId="79" fillId="12" borderId="25" xfId="10" applyFont="1" applyFill="1" applyBorder="1" applyAlignment="1">
      <x:alignment horizontal="center" vertical="center"/>
    </x:xf>
    <x:xf numFmtId="0" fontId="80" fillId="12" borderId="16" xfId="10" applyFont="1" applyFill="1">
      <x:alignment vertical="center"/>
    </x:xf>
    <x:xf numFmtId="0" fontId="79" fillId="12" borderId="26" xfId="10" applyFont="1" applyFill="1" applyBorder="1" applyAlignment="1">
      <x:alignment horizontal="center" vertical="center"/>
    </x:xf>
    <x:xf numFmtId="0" fontId="79" fillId="12" borderId="32" xfId="10" applyFont="1" applyFill="1" applyBorder="1" applyAlignment="1">
      <x:alignment horizontal="center" vertical="center"/>
    </x:xf>
    <x:xf numFmtId="0" fontId="79" fillId="12" borderId="76" xfId="10" applyFont="1" applyFill="1" applyBorder="1">
      <x:alignment vertical="center"/>
    </x:xf>
    <x:xf numFmtId="0" fontId="79" fillId="12" borderId="76" xfId="10" applyFont="1" applyFill="1" applyBorder="1" applyAlignment="1">
      <x:alignment horizontal="center" vertical="center"/>
    </x:xf>
    <x:xf numFmtId="16" fontId="79" fillId="12" borderId="76" xfId="10" applyNumberFormat="1" applyFont="1" applyFill="1" applyBorder="1" applyAlignment="1">
      <x:alignment horizontal="center" vertical="center"/>
    </x:xf>
    <x:xf numFmtId="169" fontId="79" fillId="12" borderId="76" xfId="11" applyFont="1" applyFill="1" applyBorder="1">
      <x:alignment vertical="center"/>
    </x:xf>
    <x:xf numFmtId="170" fontId="79" fillId="12" borderId="76" xfId="10" applyNumberFormat="1" applyFont="1" applyFill="1" applyBorder="1">
      <x:alignment vertical="center"/>
    </x:xf>
    <x:xf numFmtId="169" fontId="80" fillId="12" borderId="26" xfId="11" applyFont="1" applyFill="1" applyBorder="1">
      <x:alignment vertical="center"/>
    </x:xf>
    <x:xf numFmtId="171" fontId="80" fillId="12" borderId="26" xfId="11" applyNumberFormat="1" applyFont="1" applyFill="1" applyBorder="1">
      <x:alignment vertical="center"/>
    </x:xf>
    <x:xf numFmtId="0" fontId="80" fillId="12" borderId="25" xfId="10" applyFont="1" applyFill="1" applyBorder="1">
      <x:alignment vertical="center"/>
    </x:xf>
    <x:xf numFmtId="0" fontId="79" fillId="12" borderId="77" xfId="10" applyFont="1" applyFill="1" applyBorder="1" applyAlignment="1"/>
    <x:xf numFmtId="169" fontId="79" fillId="12" borderId="77" xfId="11" applyFont="1" applyFill="1" applyBorder="1">
      <x:alignment vertical="center"/>
    </x:xf>
    <x:xf numFmtId="170" fontId="79" fillId="12" borderId="77" xfId="10" applyNumberFormat="1" applyFont="1" applyFill="1" applyBorder="1">
      <x:alignment vertical="center"/>
    </x:xf>
    <x:xf numFmtId="0" fontId="79" fillId="12" borderId="77" xfId="10" applyFont="1" applyFill="1" applyBorder="1">
      <x:alignment vertical="center"/>
    </x:xf>
    <x:xf numFmtId="0" fontId="81" fillId="12" borderId="77" xfId="12" applyFont="1" applyFill="1" applyBorder="1" applyAlignment="1">
      <x:alignment horizontal="center" vertical="center"/>
    </x:xf>
    <x:xf numFmtId="0" fontId="83" fillId="12" borderId="32" xfId="12" applyFont="1" applyFill="1" applyBorder="1" applyAlignment="1">
      <x:alignment horizontal="right"/>
    </x:xf>
    <x:xf numFmtId="0" fontId="83" fillId="12" borderId="71" xfId="10" applyFont="1" applyFill="1" applyBorder="1" applyAlignment="1">
      <x:alignment horizontal="left" vertical="top" wrapText="1"/>
    </x:xf>
    <x:xf numFmtId="169" fontId="80" fillId="12" borderId="32" xfId="11" applyFont="1" applyFill="1" applyBorder="1">
      <x:alignment vertical="center"/>
    </x:xf>
    <x:xf numFmtId="171" fontId="80" fillId="12" borderId="32" xfId="11" applyNumberFormat="1" applyFont="1" applyFill="1" applyBorder="1">
      <x:alignment vertical="center"/>
    </x:xf>
    <x:xf numFmtId="0" fontId="80" fillId="12" borderId="27" xfId="10" applyFont="1" applyFill="1" applyBorder="1">
      <x:alignment vertical="center"/>
    </x:xf>
    <x:xf numFmtId="0" fontId="83" fillId="12" borderId="27" xfId="12" applyFont="1" applyFill="1" applyBorder="1" applyAlignment="1">
      <x:alignment horizontal="right"/>
    </x:xf>
    <x:xf numFmtId="0" fontId="83" fillId="12" borderId="68" xfId="10" applyFont="1" applyFill="1" applyBorder="1" applyAlignment="1">
      <x:alignment horizontal="left" vertical="top" wrapText="1"/>
    </x:xf>
    <x:xf numFmtId="172" fontId="80" fillId="12" borderId="27" xfId="11" applyNumberFormat="1" applyFont="1" applyFill="1" applyBorder="1">
      <x:alignment vertical="center"/>
    </x:xf>
    <x:xf numFmtId="169" fontId="80" fillId="12" borderId="27" xfId="11" applyFont="1" applyFill="1" applyBorder="1">
      <x:alignment vertical="center"/>
    </x:xf>
    <x:xf numFmtId="171" fontId="80" fillId="12" borderId="27" xfId="11" applyNumberFormat="1" applyFont="1" applyFill="1" applyBorder="1">
      <x:alignment vertical="center"/>
    </x:xf>
    <x:xf numFmtId="172" fontId="80" fillId="12" borderId="27" xfId="10" applyNumberFormat="1" applyFont="1" applyFill="1" applyBorder="1">
      <x:alignment vertical="center"/>
    </x:xf>
    <x:xf numFmtId="0" fontId="83" fillId="12" borderId="68" xfId="10" applyFont="1" applyFill="1" applyBorder="1" applyAlignment="1">
      <x:alignment horizontal="left" vertical="top"/>
    </x:xf>
    <x:xf numFmtId="0" fontId="84" fillId="12" borderId="30" xfId="10" applyFont="1" applyFill="1" applyBorder="1" applyAlignment="1">
      <x:alignment horizontal="justify" vertical="center"/>
    </x:xf>
    <x:xf numFmtId="169" fontId="80" fillId="12" borderId="25" xfId="11" applyFont="1" applyFill="1" applyBorder="1">
      <x:alignment vertical="center"/>
    </x:xf>
    <x:xf numFmtId="171" fontId="80" fillId="12" borderId="25" xfId="11" applyNumberFormat="1" applyFont="1" applyFill="1" applyBorder="1">
      <x:alignment vertical="center"/>
    </x:xf>
    <x:xf numFmtId="0" fontId="83" fillId="12" borderId="25" xfId="12" applyFont="1" applyFill="1" applyBorder="1" applyAlignment="1">
      <x:alignment horizontal="left"/>
    </x:xf>
    <x:xf numFmtId="0" fontId="83" fillId="12" borderId="25" xfId="12" applyFont="1" applyFill="1" applyBorder="1" applyAlignment="1">
      <x:alignment horizontal="center"/>
    </x:xf>
    <x:xf numFmtId="0" fontId="83" fillId="12" borderId="71" xfId="10" applyFont="1" applyFill="1" applyBorder="1" applyAlignment="1">
      <x:alignment horizontal="left" vertical="top"/>
    </x:xf>
    <x:xf numFmtId="0" fontId="80" fillId="12" borderId="32" xfId="10" applyFont="1" applyFill="1" applyBorder="1">
      <x:alignment vertical="center"/>
    </x:xf>
    <x:xf numFmtId="0" fontId="81" fillId="12" borderId="77" xfId="12" applyFont="1" applyFill="1" applyBorder="1" applyAlignment="1">
      <x:alignment wrapText="1"/>
    </x:xf>
    <x:xf numFmtId="171" fontId="79" fillId="12" borderId="77" xfId="11" applyNumberFormat="1" applyFont="1" applyFill="1" applyBorder="1">
      <x:alignment vertical="center"/>
    </x:xf>
    <x:xf numFmtId="0" fontId="84" fillId="12" borderId="75" xfId="10" applyFont="1" applyFill="1" applyBorder="1" applyAlignment="1">
      <x:alignment horizontal="justify" vertical="center"/>
    </x:xf>
    <x:xf numFmtId="169" fontId="70" fillId="12" borderId="32" xfId="11" applyFont="1" applyFill="1" applyBorder="1">
      <x:alignment vertical="center"/>
    </x:xf>
    <x:xf numFmtId="172" fontId="69" fillId="12" borderId="32" xfId="11" applyNumberFormat="1" applyFont="1" applyFill="1" applyBorder="1">
      <x:alignment vertical="center"/>
    </x:xf>
    <x:xf numFmtId="0" fontId="69" fillId="12" borderId="32" xfId="10" applyFont="1" applyFill="1" applyBorder="1">
      <x:alignment vertical="center"/>
    </x:xf>
    <x:xf numFmtId="0" fontId="80" fillId="12" borderId="16" xfId="10" applyFont="1" applyFill="1" applyAlignment="1">
      <x:alignment horizontal="center" vertical="center"/>
    </x:xf>
    <x:xf numFmtId="172" fontId="80" fillId="12" borderId="16" xfId="10" applyNumberFormat="1" applyFont="1" applyFill="1">
      <x:alignment vertical="center"/>
    </x:xf>
    <x:xf numFmtId="172" fontId="85" fillId="12" borderId="16" xfId="10" applyNumberFormat="1" applyFont="1" applyFill="1">
      <x:alignment vertical="center"/>
    </x:xf>
    <x:xf numFmtId="169" fontId="80" fillId="12" borderId="16" xfId="11" applyFont="1" applyFill="1">
      <x:alignment vertical="center"/>
    </x:xf>
    <x:xf numFmtId="0" fontId="86" fillId="12" borderId="16" xfId="10" applyFont="1" applyFill="1" applyAlignment="1">
      <x:alignment horizontal="center" vertical="center"/>
    </x:xf>
    <x:xf numFmtId="0" fontId="86" fillId="12" borderId="16" xfId="10" applyFont="1" applyFill="1">
      <x:alignment vertical="center"/>
    </x:xf>
    <x:xf numFmtId="169" fontId="81" fillId="12" borderId="77" xfId="11" applyFont="1" applyFill="1" applyBorder="1" applyAlignment="1">
      <x:alignment horizontal="center" vertical="center" wrapText="1"/>
    </x:xf>
    <x:xf numFmtId="3" fontId="79" fillId="12" borderId="76" xfId="0" applyNumberFormat="1" applyFont="1" applyFill="1" applyBorder="1" applyAlignment="1">
      <x:alignment vertical="center"/>
    </x:xf>
    <x:xf numFmtId="3" fontId="79" fillId="12" borderId="77" xfId="0" applyNumberFormat="1" applyFont="1" applyFill="1" applyBorder="1" applyAlignment="1">
      <x:alignment vertical="center"/>
    </x:xf>
    <x:xf numFmtId="3" fontId="80" fillId="12" borderId="32" xfId="0" applyNumberFormat="1" applyFont="1" applyFill="1" applyBorder="1" applyAlignment="1">
      <x:alignment vertical="center"/>
    </x:xf>
    <x:xf numFmtId="3" fontId="80" fillId="12" borderId="27" xfId="0" applyNumberFormat="1" applyFont="1" applyFill="1" applyBorder="1" applyAlignment="1">
      <x:alignment vertical="center"/>
    </x:xf>
    <x:xf numFmtId="3" fontId="80" fillId="12" borderId="25" xfId="0" applyNumberFormat="1" applyFont="1" applyFill="1" applyBorder="1" applyAlignment="1">
      <x:alignment vertical="center"/>
    </x:xf>
    <x:xf numFmtId="3" fontId="70" fillId="12" borderId="32" xfId="0" applyNumberFormat="1" applyFont="1" applyFill="1" applyBorder="1" applyAlignment="1">
      <x:alignment vertical="center"/>
    </x:xf>
    <x:xf numFmtId="3" fontId="80" fillId="12" borderId="26" xfId="0" applyNumberFormat="1" applyFont="1" applyFill="1" applyBorder="1" applyAlignment="1">
      <x:alignment vertical="center"/>
    </x:xf>
    <x:xf numFmtId="0" fontId="61" fillId="0" borderId="0" xfId="0" applyFont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60" fillId="0" borderId="34" xfId="0" applyFont="1" applyBorder="1" applyAlignment="1">
      <x:alignment horizontal="center" vertical="center"/>
    </x:xf>
    <x:xf numFmtId="0" fontId="60" fillId="0" borderId="27" xfId="0" applyFont="1" applyBorder="1" applyAlignment="1">
      <x:alignment horizontal="center" vertical="center"/>
    </x:xf>
    <x:xf numFmtId="0" fontId="60" fillId="0" borderId="35" xfId="0" applyFont="1" applyBorder="1" applyAlignment="1">
      <x:alignment horizontal="center" vertical="center"/>
    </x:xf>
    <x:xf numFmtId="0" fontId="60" fillId="0" borderId="70" xfId="0" applyFont="1" applyBorder="1" applyAlignment="1">
      <x:alignment horizontal="center" vertical="center"/>
    </x:xf>
    <x:xf numFmtId="0" fontId="60" fillId="0" borderId="70" xfId="0" applyFont="1" applyBorder="1" applyAlignment="1">
      <x:alignment horizontal="center" vertical="center" wrapText="1"/>
    </x:xf>
    <x:xf numFmtId="0" fontId="60" fillId="0" borderId="73" xfId="0" applyFont="1" applyBorder="1" applyAlignment="1">
      <x:alignment horizontal="center" vertical="center" wrapText="1"/>
    </x:xf>
    <x:xf numFmtId="0" fontId="60" fillId="0" borderId="74" xfId="0" applyFont="1" applyBorder="1" applyAlignment="1">
      <x:alignment horizontal="center" vertical="center" wrapText="1"/>
    </x:xf>
    <x:xf numFmtId="0" fontId="60" fillId="0" borderId="31" xfId="0" applyFont="1" applyBorder="1" applyAlignment="1">
      <x:alignment horizontal="center" vertical="center" wrapText="1"/>
    </x:xf>
    <x:xf numFmtId="0" fontId="60" fillId="0" borderId="71" xfId="0" applyFont="1" applyBorder="1" applyAlignment="1">
      <x:alignment horizontal="center" vertical="center" wrapText="1"/>
    </x:xf>
    <x:xf numFmtId="0" fontId="57" fillId="11" borderId="43" xfId="0" applyFont="1" applyFill="1" applyBorder="1" applyAlignment="1">
      <x:alignment vertical="center" wrapText="1"/>
    </x:xf>
    <x:xf numFmtId="0" fontId="57" fillId="11" borderId="48" xfId="0" applyFont="1" applyFill="1" applyBorder="1" applyAlignment="1">
      <x:alignment vertical="center" wrapText="1"/>
    </x:xf>
    <x:xf numFmtId="0" fontId="58" fillId="0" borderId="36" xfId="0" applyFont="1" applyBorder="1" applyAlignment="1">
      <x:alignment horizontal="center" vertical="center" wrapText="1"/>
    </x:xf>
    <x:xf numFmtId="0" fontId="58" fillId="0" borderId="37" xfId="0" applyFont="1" applyBorder="1" applyAlignment="1">
      <x:alignment horizontal="center" vertical="center" wrapText="1"/>
    </x:xf>
    <x:xf numFmtId="0" fontId="58" fillId="0" borderId="55" xfId="0" applyFont="1" applyBorder="1" applyAlignment="1">
      <x:alignment horizontal="center" vertical="center" wrapText="1"/>
    </x:xf>
    <x:xf numFmtId="0" fontId="58" fillId="0" borderId="41" xfId="0" applyFont="1" applyBorder="1" applyAlignment="1">
      <x:alignment horizontal="center" vertical="center" wrapText="1"/>
    </x:xf>
    <x:xf numFmtId="0" fontId="58" fillId="0" borderId="40" xfId="0" applyFont="1" applyBorder="1" applyAlignment="1">
      <x:alignment horizontal="center" vertical="center" wrapText="1"/>
    </x:xf>
    <x:xf numFmtId="0" fontId="58" fillId="0" borderId="63" xfId="0" applyFont="1" applyBorder="1" applyAlignment="1">
      <x:alignment horizontal="center" vertical="center" wrapText="1"/>
    </x:xf>
    <x:xf numFmtId="0" fontId="58" fillId="0" borderId="64" xfId="0" applyFont="1" applyBorder="1" applyAlignment="1">
      <x:alignment horizontal="center" vertical="center" wrapText="1"/>
    </x:xf>
    <x:xf numFmtId="0" fontId="57" fillId="0" borderId="56" xfId="0" applyFont="1" applyBorder="1" applyAlignment="1">
      <x:alignment horizontal="center" vertical="center" wrapText="1"/>
    </x:xf>
    <x:xf numFmtId="0" fontId="57" fillId="0" borderId="43" xfId="0" applyFont="1" applyBorder="1" applyAlignment="1">
      <x:alignment horizontal="center" vertical="center" wrapText="1"/>
    </x:xf>
    <x:xf numFmtId="0" fontId="57" fillId="0" borderId="37" xfId="0" applyFont="1" applyBorder="1" applyAlignment="1">
      <x:alignment horizontal="center" vertical="center" wrapText="1"/>
    </x:xf>
    <x:xf numFmtId="0" fontId="57" fillId="0" borderId="56" xfId="0" applyFont="1" applyBorder="1" applyAlignment="1">
      <x:alignment vertical="center" wrapText="1"/>
    </x:xf>
    <x:xf numFmtId="0" fontId="57" fillId="0" borderId="43" xfId="0" applyFont="1" applyBorder="1" applyAlignment="1">
      <x:alignment vertical="center" wrapText="1"/>
    </x:xf>
    <x:xf numFmtId="0" fontId="57" fillId="0" borderId="37" xfId="0" applyFont="1" applyBorder="1" applyAlignment="1">
      <x:alignment vertical="center" wrapText="1"/>
    </x:xf>
    <x:xf numFmtId="0" fontId="57" fillId="0" borderId="36" xfId="0" applyFont="1" applyBorder="1" applyAlignment="1">
      <x:alignment horizontal="center" vertical="center" wrapText="1"/>
    </x:xf>
    <x:xf numFmtId="0" fontId="57" fillId="0" borderId="48" xfId="0" applyFont="1" applyBorder="1" applyAlignment="1">
      <x:alignment horizontal="center" vertical="center" wrapText="1"/>
    </x:xf>
    <x:xf numFmtId="0" fontId="57" fillId="0" borderId="51" xfId="0" applyFont="1" applyBorder="1" applyAlignment="1">
      <x:alignment vertical="center" wrapText="1"/>
    </x:xf>
    <x:xf numFmtId="0" fontId="57" fillId="0" borderId="48" xfId="0" applyFont="1" applyBorder="1" applyAlignment="1">
      <x:alignment vertical="center" wrapText="1"/>
    </x:xf>
    <x:xf numFmtId="0" fontId="57" fillId="0" borderId="51" xfId="0" applyFont="1" applyBorder="1" applyAlignment="1">
      <x:alignment horizontal="center" vertical="center" wrapText="1"/>
    </x:xf>
    <x:xf numFmtId="0" fontId="57" fillId="0" borderId="36" xfId="0" applyFont="1" applyBorder="1" applyAlignment="1">
      <x:alignment vertical="center" wrapText="1"/>
    </x:xf>
    <x:xf numFmtId="0" fontId="57" fillId="0" borderId="36" xfId="0" applyFont="1" applyBorder="1" applyAlignment="1">
      <x:alignment horizontal="justify" vertical="center"/>
    </x:xf>
    <x:xf numFmtId="0" fontId="57" fillId="0" borderId="57" xfId="0" applyFont="1" applyBorder="1" applyAlignment="1">
      <x:alignment horizontal="justify" vertical="center"/>
    </x:xf>
    <x:xf numFmtId="0" fontId="57" fillId="0" borderId="57" xfId="0" applyFont="1" applyBorder="1" applyAlignment="1">
      <x:alignment horizontal="center" vertical="center" wrapText="1"/>
    </x:xf>
    <x:xf numFmtId="0" fontId="57" fillId="11" borderId="36" xfId="0" applyFont="1" applyFill="1" applyBorder="1" applyAlignment="1">
      <x:alignment vertical="center" wrapText="1"/>
    </x:xf>
    <x:xf numFmtId="0" fontId="55" fillId="0" borderId="16" xfId="5" applyFont="1" applyAlignment="1">
      <x:alignment horizontal="center"/>
    </x:xf>
    <x:xf numFmtId="0" fontId="57" fillId="0" borderId="43" xfId="0" applyFont="1" applyBorder="1" applyAlignment="1">
      <x:alignment horizontal="justify" vertical="center"/>
    </x:xf>
    <x:xf numFmtId="0" fontId="17" fillId="5" borderId="1" xfId="0" applyFont="1" applyFill="1" applyBorder="1" applyAlignment="1">
      <x:alignment horizontal="center" vertical="center"/>
    </x:xf>
    <x:xf numFmtId="0" fontId="17" fillId="5" borderId="5" xfId="0" applyFont="1" applyFill="1" applyBorder="1" applyAlignment="1">
      <x:alignment horizontal="center" vertical="center"/>
    </x:xf>
    <x:xf numFmtId="0" fontId="26" fillId="4" borderId="6" xfId="0" applyFont="1" applyFill="1" applyBorder="1" applyAlignment="1">
      <x:alignment horizontal="center" vertical="center"/>
    </x:xf>
    <x:xf numFmtId="0" fontId="26" fillId="4" borderId="10" xfId="0" applyFont="1" applyFill="1" applyBorder="1" applyAlignment="1">
      <x:alignment horizontal="center" vertical="center"/>
    </x:xf>
    <x:xf numFmtId="0" fontId="26" fillId="4" borderId="17" xfId="0" applyFont="1" applyFill="1" applyBorder="1" applyAlignment="1">
      <x:alignment horizontal="center" vertical="center"/>
    </x:xf>
    <x:xf numFmtId="0" fontId="6" fillId="0" borderId="1" xfId="0" applyFont="1" applyBorder="1" applyAlignment="1">
      <x:alignment horizontal="center" vertical="top"/>
    </x:xf>
    <x:xf numFmtId="0" fontId="7" fillId="0" borderId="5" xfId="0" applyFont="1" applyBorder="1" applyAlignment="1">
      <x:alignment vertical="top"/>
    </x:xf>
    <x:xf numFmtId="0" fontId="7" fillId="0" borderId="7" xfId="0" applyFont="1" applyBorder="1" applyAlignment="1">
      <x:alignment vertical="top"/>
    </x:xf>
    <x:xf numFmtId="0" fontId="8" fillId="0" borderId="1" xfId="0" applyFont="1" applyBorder="1" applyAlignment="1">
      <x:alignment vertical="top" wrapText="1"/>
    </x:xf>
    <x:xf numFmtId="0" fontId="21" fillId="4" borderId="11" xfId="0" applyFont="1" applyFill="1" applyBorder="1" applyAlignment="1">
      <x:alignment horizontal="center" vertical="center"/>
    </x:xf>
    <x:xf numFmtId="0" fontId="21" fillId="4" borderId="18" xfId="0" applyFont="1" applyFill="1" applyBorder="1" applyAlignment="1">
      <x:alignment horizontal="center" vertical="center"/>
    </x:xf>
    <x:xf numFmtId="0" fontId="17" fillId="5" borderId="1" xfId="0" applyFont="1" applyFill="1" applyBorder="1" applyAlignment="1">
      <x:alignment horizontal="center" vertical="center" wrapText="1"/>
    </x:xf>
    <x:xf numFmtId="0" fontId="17" fillId="5" borderId="5" xfId="0" applyFont="1" applyFill="1" applyBorder="1" applyAlignment="1">
      <x:alignment horizontal="center" vertical="center" wrapText="1"/>
    </x:xf>
    <x:xf numFmtId="0" fontId="26" fillId="4" borderId="2" xfId="0" applyFont="1" applyFill="1" applyBorder="1" applyAlignment="1">
      <x:alignment horizontal="center" vertical="center"/>
    </x:xf>
    <x:xf numFmtId="0" fontId="26" fillId="4" borderId="3" xfId="0" applyFont="1" applyFill="1" applyBorder="1" applyAlignment="1">
      <x:alignment horizontal="center" vertical="center"/>
    </x:xf>
    <x:xf numFmtId="0" fontId="26" fillId="4" borderId="20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1" fillId="5" borderId="5" xfId="0" applyFont="1" applyFill="1" applyBorder="1" applyAlignment="1">
      <x:alignment horizontal="center" vertical="center" wrapText="1"/>
    </x:xf>
    <x:xf numFmtId="0" fontId="21" fillId="6" borderId="2" xfId="0" applyFont="1" applyFill="1" applyBorder="1" applyAlignment="1">
      <x:alignment horizontal="center" vertical="center" wrapText="1"/>
    </x:xf>
    <x:xf numFmtId="0" fontId="21" fillId="6" borderId="20" xfId="0" applyFont="1" applyFill="1" applyBorder="1" applyAlignment="1">
      <x:alignment horizontal="center" vertical="center" wrapText="1"/>
    </x:xf>
    <x:xf numFmtId="0" fontId="39" fillId="0" borderId="1" xfId="2" applyFont="1" applyBorder="1" applyAlignment="1">
      <x:alignment horizontal="left" vertical="top" wrapText="1"/>
    </x:xf>
    <x:xf numFmtId="0" fontId="39" fillId="0" borderId="7" xfId="2" applyFont="1" applyBorder="1" applyAlignment="1">
      <x:alignment horizontal="left" vertical="top" wrapText="1"/>
    </x:xf>
    <x:xf numFmtId="0" fontId="39" fillId="0" borderId="5" xfId="2" applyFont="1" applyBorder="1" applyAlignment="1">
      <x:alignment horizontal="left" vertical="top" wrapText="1"/>
    </x:xf>
    <x:xf numFmtId="0" fontId="18" fillId="0" borderId="16" xfId="2" applyFont="1" applyAlignment="1">
      <x:alignment horizontal="center"/>
    </x:xf>
    <x:xf numFmtId="0" fontId="18" fillId="0" borderId="2" xfId="2" applyFont="1" applyBorder="1" applyAlignment="1">
      <x:alignment horizontal="center" vertical="center"/>
    </x:xf>
    <x:xf numFmtId="0" fontId="18" fillId="0" borderId="3" xfId="2" applyFont="1" applyBorder="1" applyAlignment="1">
      <x:alignment horizontal="center" vertical="center"/>
    </x:xf>
    <x:xf numFmtId="0" fontId="18" fillId="0" borderId="20" xfId="2" applyFont="1" applyBorder="1" applyAlignment="1">
      <x:alignment horizontal="center" vertical="center"/>
    </x:xf>
    <x:xf numFmtId="0" fontId="37" fillId="0" borderId="1" xfId="2" applyFont="1" applyBorder="1" applyAlignment="1">
      <x:alignment horizontal="center" vertical="center" wrapText="1"/>
    </x:xf>
    <x:xf numFmtId="0" fontId="37" fillId="0" borderId="7" xfId="2" applyFont="1" applyBorder="1" applyAlignment="1">
      <x:alignment horizontal="center" vertical="center" wrapText="1"/>
    </x:xf>
    <x:xf numFmtId="0" fontId="37" fillId="0" borderId="5" xfId="2" applyFont="1" applyBorder="1" applyAlignment="1">
      <x:alignment horizontal="center" vertical="center" wrapText="1"/>
    </x:xf>
    <x:xf numFmtId="0" fontId="18" fillId="0" borderId="1" xfId="2" applyFont="1" applyBorder="1" applyAlignment="1">
      <x:alignment horizontal="center" vertical="center" wrapText="1"/>
    </x:xf>
    <x:xf numFmtId="0" fontId="18" fillId="0" borderId="7" xfId="2" applyFont="1" applyBorder="1" applyAlignment="1">
      <x:alignment horizontal="center" vertical="center" wrapText="1"/>
    </x:xf>
    <x:xf numFmtId="0" fontId="18" fillId="0" borderId="5" xfId="2" applyFont="1" applyBorder="1" applyAlignment="1">
      <x:alignment horizontal="center" vertical="center" wrapText="1"/>
    </x:xf>
    <x:xf numFmtId="0" fontId="38" fillId="0" borderId="1" xfId="2" applyFont="1" applyBorder="1" applyAlignment="1">
      <x:alignment horizontal="center" vertical="center" wrapText="1"/>
    </x:xf>
    <x:xf numFmtId="0" fontId="38" fillId="0" borderId="7" xfId="2" applyFont="1" applyBorder="1" applyAlignment="1">
      <x:alignment horizontal="center" vertical="center" wrapText="1"/>
    </x:xf>
    <x:xf numFmtId="0" fontId="38" fillId="0" borderId="5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 vertical="center" wrapText="1"/>
    </x:xf>
    <x:xf numFmtId="0" fontId="18" fillId="0" borderId="17" xfId="2" applyFont="1" applyBorder="1" applyAlignment="1">
      <x:alignment horizontal="center" vertical="center" wrapText="1"/>
    </x:xf>
    <x:xf numFmtId="0" fontId="18" fillId="0" borderId="9" xfId="2" applyFont="1" applyBorder="1" applyAlignment="1">
      <x:alignment horizontal="center" vertical="center" wrapText="1"/>
    </x:xf>
    <x:xf numFmtId="0" fontId="18" fillId="0" borderId="18" xfId="2" applyFont="1" applyBorder="1" applyAlignment="1">
      <x:alignment horizontal="center" vertical="center" wrapText="1"/>
    </x:xf>
    <x:xf numFmtId="0" fontId="18" fillId="0" borderId="2" xfId="2" applyFont="1" applyBorder="1" applyAlignment="1">
      <x:alignment horizontal="center" vertical="center" wrapText="1"/>
    </x:xf>
    <x:xf numFmtId="0" fontId="18" fillId="0" borderId="3" xfId="2" applyFont="1" applyBorder="1" applyAlignment="1">
      <x:alignment horizontal="center" vertical="center" wrapText="1"/>
    </x:xf>
    <x:xf numFmtId="0" fontId="18" fillId="0" borderId="21" xfId="2" applyFont="1" applyBorder="1" applyAlignment="1">
      <x:alignment horizontal="center" vertical="center" wrapText="1"/>
    </x:xf>
    <x:xf numFmtId="0" fontId="18" fillId="0" borderId="20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/>
    </x:xf>
    <x:xf numFmtId="0" fontId="30" fillId="0" borderId="17" xfId="2" applyFont="1" applyBorder="1"/>
    <x:xf numFmtId="0" fontId="46" fillId="2" borderId="16" xfId="2" applyFont="1" applyFill="1" applyAlignment="1">
      <x:alignment horizontal="center"/>
    </x:xf>
    <x:xf numFmtId="0" fontId="47" fillId="0" borderId="16" xfId="2" applyFont="1"/>
    <x:xf numFmtId="0" fontId="38" fillId="0" borderId="7" xfId="2" applyFont="1" applyBorder="1" applyAlignment="1">
      <x:alignment horizontal="center" vertical="top"/>
    </x:xf>
    <x:xf numFmtId="0" fontId="37" fillId="0" borderId="7" xfId="2" applyFont="1" applyBorder="1" applyAlignment="1">
      <x:alignment horizontal="center" vertical="top" wrapText="1"/>
    </x:xf>
    <x:xf numFmtId="0" fontId="46" fillId="2" borderId="16" xfId="2" applyFont="1" applyFill="1" applyAlignment="1">
      <x:alignment horizontal="center" vertical="center"/>
    </x:xf>
    <x:xf numFmtId="0" fontId="47" fillId="0" borderId="16" xfId="2" applyFont="1" applyAlignment="1">
      <x:alignment vertical="center"/>
    </x:xf>
    <x:xf numFmtId="0" fontId="49" fillId="2" borderId="16" xfId="2" applyFont="1" applyFill="1" applyAlignment="1">
      <x:alignment horizontal="center" vertical="top"/>
    </x:xf>
    <x:xf numFmtId="0" fontId="50" fillId="0" borderId="16" xfId="2" applyFont="1" applyAlignment="1">
      <x:alignment vertical="top"/>
    </x:xf>
    <x:xf numFmtId="0" fontId="18" fillId="0" borderId="4" xfId="2" applyFont="1" applyBorder="1" applyAlignment="1">
      <x:alignment horizontal="center"/>
    </x:xf>
    <x:xf numFmtId="0" fontId="18" fillId="0" borderId="7" xfId="2" applyFont="1" applyBorder="1" applyAlignment="1">
      <x:alignment horizontal="center" vertical="top"/>
    </x:xf>
    <x:xf numFmtId="0" fontId="30" fillId="0" borderId="7" xfId="2" applyFont="1" applyBorder="1"/>
    <x:xf numFmtId="0" fontId="30" fillId="0" borderId="5" xfId="2" applyFont="1" applyBorder="1"/>
    <x:xf numFmtId="0" fontId="30" fillId="0" borderId="4" xfId="2" applyFont="1" applyBorder="1"/>
    <x:xf numFmtId="0" fontId="18" fillId="0" borderId="19" xfId="2" applyFont="1" applyBorder="1" applyAlignment="1">
      <x:alignment horizontal="left" vertical="top" wrapText="1"/>
    </x:xf>
    <x:xf numFmtId="0" fontId="18" fillId="0" borderId="18" xfId="2" applyFont="1" applyBorder="1" applyAlignment="1">
      <x:alignment horizontal="left" vertical="top" wrapText="1"/>
    </x:xf>
    <x:xf numFmtId="0" fontId="1" fillId="0" borderId="16" xfId="2"/>
    <x:xf numFmtId="0" fontId="51" fillId="0" borderId="4" xfId="2" applyFont="1" applyBorder="1" applyAlignment="1">
      <x:alignment horizontal="center" vertical="center"/>
    </x:xf>
    <x:xf numFmtId="0" fontId="31" fillId="0" borderId="4" xfId="2" applyFont="1" applyBorder="1"/>
    <x:xf numFmtId="0" fontId="30" fillId="0" borderId="19" xfId="2" applyFont="1" applyBorder="1" applyAlignment="1">
      <x:alignment horizontal="left"/>
    </x:xf>
    <x:xf numFmtId="0" fontId="30" fillId="0" borderId="18" xfId="2" applyFont="1" applyBorder="1" applyAlignment="1">
      <x:alignment horizontal="left"/>
    </x:xf>
    <x:xf numFmtId="0" fontId="18" fillId="0" borderId="7" xfId="2" applyFont="1" applyBorder="1" applyAlignment="1">
      <x:alignment horizontal="center" vertical="top" wrapText="1"/>
    </x:xf>
    <x:xf numFmtId="0" fontId="18" fillId="0" borderId="7" xfId="2" applyFont="1" applyBorder="1" applyAlignment="1">
      <x:alignment horizontal="left" vertical="top" wrapText="1"/>
    </x:xf>
    <x:xf numFmtId="0" fontId="18" fillId="0" borderId="5" xfId="2" applyFont="1" applyBorder="1" applyAlignment="1">
      <x:alignment horizontal="left" vertical="top" wrapText="1"/>
    </x:xf>
    <x:xf numFmtId="0" fontId="23" fillId="0" borderId="1" xfId="2" applyFont="1" applyBorder="1" applyAlignment="1">
      <x:alignment horizontal="left" vertical="top" wrapText="1"/>
    </x:xf>
    <x:xf numFmtId="0" fontId="18" fillId="0" borderId="17" xfId="2" applyFont="1" applyBorder="1" applyAlignment="1">
      <x:alignment horizontal="left" vertical="top" wrapText="1"/>
    </x:xf>
    <x:xf numFmtId="0" fontId="30" fillId="0" borderId="19" xfId="2" applyFont="1" applyBorder="1"/>
    <x:xf numFmtId="0" fontId="42" fillId="0" borderId="1" xfId="2" applyFont="1" applyBorder="1" applyAlignment="1">
      <x:alignment horizontal="left" vertical="top" wrapText="1"/>
    </x:xf>
    <x:xf numFmtId="0" fontId="42" fillId="0" borderId="5" xfId="2" applyFont="1" applyBorder="1" applyAlignment="1">
      <x:alignment horizontal="left" vertical="top" wrapText="1"/>
    </x:xf>
    <x:xf numFmtId="0" fontId="48" fillId="2" borderId="16" xfId="2" applyFont="1" applyFill="1" applyAlignment="1">
      <x:alignment horizontal="center"/>
    </x:xf>
    <x:xf numFmtId="0" fontId="62" fillId="0" borderId="16" xfId="2" applyFont="1"/>
    <x:xf numFmtId="0" fontId="64" fillId="2" borderId="16" xfId="2" applyFont="1" applyFill="1" applyAlignment="1">
      <x:alignment horizontal="center"/>
    </x:xf>
    <x:xf numFmtId="0" fontId="63" fillId="0" borderId="16" xfId="2" applyFont="1"/>
    <x:xf numFmtId="0" fontId="1" fillId="0" borderId="17" xfId="2" applyBorder="1" applyAlignment="1">
      <x:alignment horizontal="left" vertical="top" wrapText="1"/>
    </x:xf>
    <x:xf numFmtId="0" fontId="1" fillId="0" borderId="19" xfId="2" applyBorder="1" applyAlignment="1">
      <x:alignment horizontal="left" vertical="top" wrapText="1"/>
    </x:xf>
    <x:xf numFmtId="0" fontId="18" fillId="0" borderId="8" xfId="2" applyFont="1" applyBorder="1" applyAlignment="1">
      <x:alignment horizontal="center" vertical="top"/>
    </x:xf>
    <x:xf numFmtId="0" fontId="30" fillId="0" borderId="8" xfId="2" applyFont="1" applyBorder="1"/>
    <x:xf numFmtId="0" fontId="30" fillId="0" borderId="9" xfId="2" applyFont="1" applyBorder="1"/>
    <x:xf numFmtId="0" fontId="38" fillId="0" borderId="7" xfId="2" applyFont="1" applyBorder="1" applyAlignment="1">
      <x:alignment horizontal="center" vertical="top" wrapText="1"/>
    </x:xf>
    <x:xf numFmtId="0" fontId="38" fillId="0" borderId="5" xfId="2" applyFont="1" applyBorder="1" applyAlignment="1">
      <x:alignment horizontal="center" vertical="top" wrapText="1"/>
    </x:xf>
    <x:xf numFmtId="0" fontId="18" fillId="0" borderId="1" xfId="2" applyFont="1" applyBorder="1" applyAlignment="1">
      <x:alignment horizontal="center" vertical="top"/>
    </x:xf>
    <x:xf numFmtId="0" fontId="38" fillId="0" borderId="1" xfId="2" applyFont="1" applyBorder="1" applyAlignment="1">
      <x:alignment horizontal="justify" vertical="top" wrapText="1"/>
    </x:xf>
    <x:xf numFmtId="0" fontId="38" fillId="0" borderId="7" xfId="2" applyFont="1" applyBorder="1" applyAlignment="1">
      <x:alignment horizontal="justify" vertical="top" wrapText="1"/>
    </x:xf>
    <x:xf numFmtId="0" fontId="38" fillId="0" borderId="1" xfId="2" applyFont="1" applyBorder="1" applyAlignment="1">
      <x:alignment horizontal="left" vertical="top" wrapText="1"/>
    </x:xf>
    <x:xf numFmtId="0" fontId="38" fillId="0" borderId="7" xfId="2" applyFont="1" applyBorder="1" applyAlignment="1">
      <x:alignment horizontal="left" vertical="top" wrapText="1"/>
    </x:xf>
    <x:xf numFmtId="0" fontId="42" fillId="0" borderId="7" xfId="2" applyFont="1" applyBorder="1" applyAlignment="1">
      <x:alignment horizontal="left" vertical="top" wrapText="1"/>
    </x:xf>
    <x:xf numFmtId="0" fontId="18" fillId="0" borderId="4" xfId="2" applyFont="1" applyBorder="1" applyAlignment="1">
      <x:alignment horizontal="center" vertical="center" wrapText="1"/>
    </x:xf>
    <x:xf numFmtId="0" fontId="42" fillId="0" borderId="1" xfId="2" applyFont="1" applyBorder="1" applyAlignment="1">
      <x:alignment horizontal="center" vertical="center" wrapText="1"/>
    </x:xf>
    <x:xf numFmtId="0" fontId="42" fillId="0" borderId="7" xfId="2" applyFont="1" applyBorder="1" applyAlignment="1">
      <x:alignment horizontal="center" vertical="center" wrapText="1"/>
    </x:xf>
    <x:xf numFmtId="0" fontId="42" fillId="0" borderId="5" xfId="2" applyFont="1" applyBorder="1" applyAlignment="1">
      <x:alignment horizontal="center" vertical="center" wrapText="1"/>
    </x:xf>
    <x:xf numFmtId="0" fontId="31" fillId="0" borderId="4" xfId="2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10" fillId="0" borderId="3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19" fillId="0" borderId="6" xfId="0" applyFont="1" applyBorder="1" applyAlignment="1">
      <x:alignment horizontal="center" vertical="center"/>
    </x:xf>
    <x:xf numFmtId="0" fontId="19" fillId="0" borderId="9" xfId="0" applyFont="1" applyBorder="1" applyAlignment="1">
      <x:alignment horizontal="center" vertical="center"/>
    </x:xf>
    <x:xf numFmtId="0" fontId="19" fillId="0" borderId="10" xfId="0" applyFont="1" applyBorder="1" applyAlignment="1">
      <x:alignment horizontal="center" vertical="center"/>
    </x:xf>
    <x:xf numFmtId="0" fontId="19" fillId="0" borderId="11" xfId="0" applyFont="1" applyBorder="1" applyAlignment="1">
      <x:alignment horizontal="center" vertical="center"/>
    </x:xf>
    <x:xf numFmtId="0" fontId="31" fillId="0" borderId="10" xfId="0" applyFont="1" applyBorder="1" applyAlignment="1">
      <x:alignment horizontal="center" vertical="center"/>
    </x:xf>
    <x:xf numFmtId="0" fontId="31" fillId="0" borderId="17" xfId="0" applyFont="1" applyBorder="1" applyAlignment="1">
      <x:alignment horizontal="center" vertical="center"/>
    </x:xf>
    <x:xf numFmtId="0" fontId="31" fillId="0" borderId="11" xfId="0" applyFont="1" applyBorder="1" applyAlignment="1">
      <x:alignment horizontal="center" vertical="center"/>
    </x:xf>
    <x:xf numFmtId="0" fontId="31" fillId="0" borderId="18" xfId="0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 wrapText="1"/>
    </x:xf>
    <x:xf numFmtId="0" fontId="19" fillId="0" borderId="5" xfId="0" applyFont="1" applyBorder="1" applyAlignment="1">
      <x:alignment horizontal="center" vertical="center" wrapText="1"/>
    </x:xf>
    <x:xf numFmtId="0" fontId="19" fillId="9" borderId="1" xfId="0" applyFont="1" applyFill="1" applyBorder="1" applyAlignment="1">
      <x:alignment horizontal="center" vertical="center" wrapText="1"/>
    </x:xf>
    <x:xf numFmtId="0" fontId="19" fillId="9" borderId="5" xfId="0" applyFont="1" applyFill="1" applyBorder="1" applyAlignment="1">
      <x:alignment horizontal="center" vertical="center" wrapText="1"/>
    </x:xf>
    <x:xf numFmtId="0" fontId="30" fillId="0" borderId="1" xfId="0" applyFont="1" applyBorder="1" applyAlignment="1">
      <x:alignment horizontal="center" vertical="center"/>
    </x:xf>
    <x:xf numFmtId="0" fontId="30" fillId="0" borderId="5" xfId="0" applyFont="1" applyBorder="1" applyAlignment="1">
      <x:alignment horizontal="center" vertical="center"/>
    </x:xf>
    <x:xf numFmtId="0" fontId="31" fillId="0" borderId="1" xfId="0" applyFont="1" applyBorder="1" applyAlignment="1">
      <x:alignment horizontal="center" vertical="center" wrapText="1"/>
    </x:xf>
    <x:xf numFmtId="0" fontId="31" fillId="0" borderId="5" xfId="0" applyFont="1" applyBorder="1" applyAlignment="1">
      <x:alignment horizontal="center" vertical="center" wrapText="1"/>
    </x:xf>
    <x:xf numFmtId="0" fontId="20" fillId="0" borderId="7" xfId="0" applyFont="1" applyBorder="1" applyAlignment="1">
      <x:alignment horizontal="left" vertical="top" wrapText="1"/>
    </x:xf>
    <x:xf numFmtId="0" fontId="20" fillId="0" borderId="5" xfId="0" applyFont="1" applyBorder="1" applyAlignment="1">
      <x:alignment horizontal="left" vertical="top" wrapText="1"/>
    </x:xf>
    <x:xf numFmtId="0" fontId="30" fillId="5" borderId="1" xfId="0" applyFont="1" applyFill="1" applyBorder="1" applyAlignment="1">
      <x:alignment horizontal="center" vertical="center" wrapText="1"/>
    </x:xf>
    <x:xf numFmtId="0" fontId="30" fillId="5" borderId="5" xfId="0" applyFont="1" applyFill="1" applyBorder="1" applyAlignment="1">
      <x:alignment horizontal="center" vertical="center" wrapText="1"/>
    </x:xf>
    <x:xf numFmtId="0" fontId="31" fillId="5" borderId="1" xfId="0" applyFont="1" applyFill="1" applyBorder="1" applyAlignment="1">
      <x:alignment horizontal="center" vertical="center" wrapText="1"/>
    </x:xf>
    <x:xf numFmtId="0" fontId="31" fillId="5" borderId="5" xfId="0" applyFont="1" applyFill="1" applyBorder="1" applyAlignment="1">
      <x:alignment horizontal="center" vertical="center" wrapText="1"/>
    </x:xf>
    <x:xf numFmtId="0" fontId="5" fillId="5" borderId="1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19" fillId="5" borderId="1" xfId="0" applyFont="1" applyFill="1" applyBorder="1" applyAlignment="1">
      <x:alignment horizontal="center" vertical="center" wrapText="1"/>
    </x:xf>
    <x:xf numFmtId="0" fontId="19" fillId="5" borderId="5" xfId="0" applyFont="1" applyFill="1" applyBorder="1" applyAlignment="1">
      <x:alignment horizontal="center" vertical="center" wrapText="1"/>
    </x:xf>
    <x:xf numFmtId="0" fontId="19" fillId="5" borderId="6" xfId="0" applyFont="1" applyFill="1" applyBorder="1" applyAlignment="1">
      <x:alignment horizontal="center" vertical="center"/>
    </x:xf>
    <x:xf numFmtId="0" fontId="19" fillId="5" borderId="9" xfId="0" applyFont="1" applyFill="1" applyBorder="1" applyAlignment="1">
      <x:alignment horizontal="center" vertical="center"/>
    </x:xf>
    <x:xf numFmtId="0" fontId="19" fillId="5" borderId="10" xfId="0" applyFont="1" applyFill="1" applyBorder="1" applyAlignment="1">
      <x:alignment horizontal="center" vertical="center"/>
    </x:xf>
    <x:xf numFmtId="0" fontId="19" fillId="5" borderId="11" xfId="0" applyFont="1" applyFill="1" applyBorder="1" applyAlignment="1">
      <x:alignment horizontal="center" vertical="center"/>
    </x:xf>
    <x:xf numFmtId="0" fontId="31" fillId="5" borderId="10" xfId="0" applyFont="1" applyFill="1" applyBorder="1" applyAlignment="1">
      <x:alignment horizontal="center" vertical="center"/>
    </x:xf>
    <x:xf numFmtId="0" fontId="31" fillId="5" borderId="17" xfId="0" applyFont="1" applyFill="1" applyBorder="1" applyAlignment="1">
      <x:alignment horizontal="center" vertical="center"/>
    </x:xf>
    <x:xf numFmtId="0" fontId="31" fillId="5" borderId="11" xfId="0" applyFont="1" applyFill="1" applyBorder="1" applyAlignment="1">
      <x:alignment horizontal="center" vertical="center"/>
    </x:xf>
    <x:xf numFmtId="0" fontId="31" fillId="5" borderId="18" xfId="0" applyFont="1" applyFill="1" applyBorder="1" applyAlignment="1">
      <x:alignment horizontal="center" vertical="center"/>
    </x:xf>
    <x:xf numFmtId="0" fontId="65" fillId="12" borderId="16" xfId="2" applyFont="1" applyFill="1" applyAlignment="1">
      <x:alignment horizontal="center"/>
    </x:xf>
    <x:xf numFmtId="0" fontId="65" fillId="13" borderId="27" xfId="2" applyFont="1" applyFill="1" applyBorder="1" applyAlignment="1">
      <x:alignment horizontal="center" vertical="center"/>
    </x:xf>
    <x:xf numFmtId="0" fontId="67" fillId="13" borderId="27" xfId="4" applyFont="1" applyFill="1" applyBorder="1" applyAlignment="1">
      <x:alignment horizontal="center" vertical="center" wrapText="1"/>
    </x:xf>
    <x:xf numFmtId="9" fontId="65" fillId="13" borderId="27" xfId="6" applyFont="1" applyFill="1" applyBorder="1" applyAlignment="1">
      <x:alignment horizontal="center" vertical="center" wrapText="1"/>
    </x:xf>
    <x:xf numFmtId="0" fontId="65" fillId="13" borderId="27" xfId="2" applyFont="1" applyFill="1" applyBorder="1" applyAlignment="1">
      <x:alignment horizontal="center" vertical="center" wrapText="1"/>
    </x:xf>
    <x:xf numFmtId="0" fontId="68" fillId="13" borderId="32" xfId="2" applyFont="1" applyFill="1" applyBorder="1" applyAlignment="1">
      <x:alignment horizontal="center"/>
    </x:xf>
    <x:xf numFmtId="0" fontId="66" fillId="12" borderId="25" xfId="2" applyFont="1" applyFill="1" applyBorder="1" applyAlignment="1">
      <x:alignment horizontal="center" vertical="center"/>
    </x:xf>
    <x:xf numFmtId="0" fontId="66" fillId="12" borderId="32" xfId="2" applyFont="1" applyFill="1" applyBorder="1" applyAlignment="1">
      <x:alignment horizontal="center" vertical="center"/>
    </x:xf>
    <x:xf numFmtId="0" fontId="66" fillId="12" borderId="25" xfId="2" applyFont="1" applyFill="1" applyBorder="1" applyAlignment="1">
      <x:alignment horizontal="center" vertical="top"/>
    </x:xf>
    <x:xf numFmtId="0" fontId="66" fillId="12" borderId="32" xfId="2" applyFont="1" applyFill="1" applyBorder="1" applyAlignment="1">
      <x:alignment horizontal="center" vertical="top"/>
    </x:xf>
    <x:xf numFmtId="0" fontId="66" fillId="12" borderId="26" xfId="2" applyFont="1" applyFill="1" applyBorder="1" applyAlignment="1">
      <x:alignment horizontal="center" vertical="top"/>
    </x:xf>
    <x:xf numFmtId="0" fontId="66" fillId="12" borderId="27" xfId="2" applyFont="1" applyFill="1" applyBorder="1" applyAlignment="1">
      <x:alignment horizontal="center" vertical="top"/>
    </x:xf>
    <x:xf numFmtId="0" fontId="71" fillId="12" borderId="25" xfId="2" applyFont="1" applyFill="1" applyBorder="1" applyAlignment="1">
      <x:alignment horizontal="center" vertical="center" wrapText="1"/>
    </x:xf>
    <x:xf numFmtId="0" fontId="71" fillId="12" borderId="32" xfId="2" applyFont="1" applyFill="1" applyBorder="1" applyAlignment="1">
      <x:alignment horizontal="center" vertical="center" wrapText="1"/>
    </x:xf>
    <x:xf numFmtId="0" fontId="65" fillId="12" borderId="75" xfId="2" applyFont="1" applyFill="1" applyBorder="1" applyAlignment="1">
      <x:alignment horizontal="center" vertical="top" wrapText="1"/>
    </x:xf>
    <x:xf numFmtId="0" fontId="76" fillId="13" borderId="27" xfId="2" applyFont="1" applyFill="1" applyBorder="1" applyAlignment="1">
      <x:alignment horizontal="left" vertical="top" wrapText="1"/>
    </x:xf>
    <x:xf numFmtId="0" fontId="70" fillId="12" borderId="16" xfId="10" applyFont="1" applyFill="1" applyAlignment="1">
      <x:alignment horizontal="center" vertical="center"/>
    </x:xf>
    <x:xf numFmtId="0" fontId="79" fillId="12" borderId="25" xfId="10" applyFont="1" applyFill="1" applyBorder="1" applyAlignment="1">
      <x:alignment horizontal="center" vertical="center"/>
    </x:xf>
    <x:xf numFmtId="0" fontId="79" fillId="12" borderId="27" xfId="10" applyFont="1" applyFill="1" applyBorder="1" applyAlignment="1">
      <x:alignment horizontal="center" vertical="center"/>
    </x:xf>
    <x:xf numFmtId="0" fontId="86" fillId="12" borderId="16" xfId="10" applyFont="1" applyFill="1" applyAlignment="1">
      <x:alignment horizontal="center" vertical="center"/>
    </x:xf>
    <x:xf numFmtId="0" fontId="80" fillId="12" borderId="16" xfId="10" applyFont="1" applyFill="1" applyAlignment="1">
      <x:alignment horizontal="center" vertical="center"/>
    </x:xf>
    <x:xf numFmtId="0" fontId="79" fillId="12" borderId="26" xfId="10" applyFont="1" applyFill="1" applyBorder="1" applyAlignment="1">
      <x:alignment horizontal="center" vertical="center"/>
    </x:xf>
    <x:xf numFmtId="0" fontId="79" fillId="12" borderId="32" xfId="10" applyFont="1" applyFill="1" applyBorder="1" applyAlignment="1">
      <x:alignment horizontal="center" vertical="center"/>
    </x:xf>
    <x:xf numFmtId="0" fontId="70" fillId="12" borderId="32" xfId="10" applyFont="1" applyFill="1" applyBorder="1" applyAlignment="1">
      <x:alignment horizontal="center" vertical="center"/>
    </x:xf>
    <x:xf numFmtId="172" fontId="69" fillId="12" borderId="32" xfId="11" applyNumberFormat="1" applyFont="1" applyFill="1" applyBorder="1" applyAlignment="1">
      <x:alignment horizontal="center" vertical="center"/>
    </x:xf>
    <x:xf numFmtId="0" fontId="0" fillId="0" borderId="78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/>
    <x:xf numFmtId="0" fontId="2" fillId="0" borderId="78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vertical="center"/>
    </x:xf>
    <x:xf numFmtId="0" fontId="5" fillId="0" borderId="79" xfId="0" applyNumberFormat="1" applyFont="1" applyFill="1" applyBorder="1" applyAlignment="1">
      <x:alignment horizontal="center" vertical="center"/>
    </x:xf>
    <x:xf numFmtId="0" fontId="0" fillId="0" borderId="80" xfId="0" applyNumberFormat="1" applyFont="1" applyFill="1" applyBorder="1" applyAlignment="1">
      <x:alignment horizontal="center" vertical="top"/>
    </x:xf>
    <x:xf numFmtId="0" fontId="8" fillId="0" borderId="80" xfId="0" applyNumberFormat="1" applyFont="1" applyFill="1" applyBorder="1" applyAlignment="1">
      <x:alignment vertical="top" wrapText="1"/>
    </x:xf>
    <x:xf numFmtId="0" fontId="8" fillId="0" borderId="80" xfId="0" applyNumberFormat="1" applyFont="1" applyFill="1" applyBorder="1" applyAlignment="1">
      <x:alignment wrapText="1"/>
    </x:xf>
    <x:xf numFmtId="1" fontId="0" fillId="0" borderId="80" xfId="0" applyNumberFormat="1" applyFont="1" applyFill="1" applyBorder="1" applyAlignment="1">
      <x:alignment horizontal="center" vertical="top"/>
    </x:xf>
    <x:xf numFmtId="0" fontId="9" fillId="0" borderId="78" xfId="0" applyNumberFormat="1" applyFont="1" applyFill="1" applyBorder="1" applyAlignment="1">
      <x:alignment horizontal="center" vertical="center"/>
    </x:xf>
    <x:xf numFmtId="0" fontId="10" fillId="0" borderId="80" xfId="0" applyNumberFormat="1" applyFont="1" applyFill="1" applyBorder="1" applyAlignment="1">
      <x:alignment horizontal="center" vertical="center"/>
    </x:xf>
    <x:xf numFmtId="0" fontId="10" fillId="0" borderId="81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horizontal="center" vertical="center"/>
    </x:xf>
    <x:xf numFmtId="0" fontId="5" fillId="0" borderId="80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center"/>
    </x:xf>
    <x:xf numFmtId="1" fontId="8" fillId="0" borderId="80" xfId="0" applyNumberFormat="1" applyFont="1" applyFill="1" applyBorder="1" applyAlignment="1">
      <x:alignment horizontal="center" vertical="top"/>
    </x:xf>
    <x:xf numFmtId="0" fontId="3" fillId="0" borderId="80" xfId="0" applyNumberFormat="1" applyFont="1" applyFill="1" applyBorder="1" applyAlignment="1">
      <x:alignment horizontal="center" vertical="center"/>
    </x:xf>
    <x:xf numFmtId="0" fontId="2" fillId="0" borderId="79" xfId="0" applyNumberFormat="1" applyFont="1" applyFill="1" applyBorder="1" applyAlignment="1">
      <x:alignment vertical="center"/>
    </x:xf>
    <x:xf numFmtId="0" fontId="5" fillId="0" borderId="82" xfId="0" applyNumberFormat="1" applyFont="1" applyFill="1" applyBorder="1" applyAlignment="1">
      <x:alignment horizontal="center" vertical="center"/>
    </x:xf>
    <x:xf numFmtId="0" fontId="5" fillId="0" borderId="82" xfId="0" applyNumberFormat="1" applyFont="1" applyFill="1" applyBorder="1" applyAlignment="1">
      <x:alignment horizontal="left" vertical="top"/>
    </x:xf>
    <x:xf numFmtId="0" fontId="5" fillId="0" borderId="82" xfId="0" applyNumberFormat="1" applyFont="1" applyFill="1" applyBorder="1" applyAlignment="1">
      <x:alignment horizontal="left" vertical="top" wrapText="1"/>
    </x:xf>
    <x:xf numFmtId="0" fontId="13" fillId="0" borderId="83" xfId="0" applyNumberFormat="1" applyFont="1" applyFill="1" applyBorder="1" applyAlignment="1">
      <x:alignment horizontal="left" vertical="top"/>
    </x:xf>
    <x:xf numFmtId="0" fontId="5" fillId="0" borderId="83" xfId="0" applyNumberFormat="1" applyFont="1" applyFill="1" applyBorder="1" applyAlignment="1">
      <x:alignment horizontal="center" vertical="top"/>
    </x:xf>
    <x:xf numFmtId="0" fontId="5" fillId="0" borderId="82" xfId="0" applyNumberFormat="1" applyFont="1" applyFill="1" applyBorder="1" applyAlignment="1">
      <x:alignment horizontal="center" vertical="top"/>
    </x:xf>
    <x:xf numFmtId="0" fontId="2" fillId="0" borderId="82" xfId="0" applyNumberFormat="1" applyFont="1" applyFill="1" applyBorder="1" applyAlignment="1">
      <x:alignment horizontal="center" vertical="center"/>
    </x:xf>
    <x:xf numFmtId="168" fontId="2" fillId="0" borderId="82" xfId="0" applyNumberFormat="1" applyFont="1" applyFill="1" applyBorder="1" applyAlignment="1">
      <x:alignment horizontal="center" vertical="center"/>
    </x:xf>
    <x:xf numFmtId="0" fontId="5" fillId="0" borderId="84" xfId="0" applyNumberFormat="1" applyFont="1" applyFill="1" applyBorder="1" applyAlignment="1">
      <x:alignment horizontal="center" vertical="center"/>
    </x:xf>
    <x:xf numFmtId="0" fontId="2" fillId="0" borderId="84" xfId="0" applyNumberFormat="1" applyFont="1" applyFill="1" applyBorder="1" applyAlignment="1">
      <x:alignment horizontal="left" vertical="top"/>
    </x:xf>
    <x:xf numFmtId="0" fontId="2" fillId="0" borderId="85" xfId="0" applyNumberFormat="1" applyFont="1" applyFill="1" applyBorder="1" applyAlignment="1">
      <x:alignment horizontal="left" vertical="center" wrapText="1"/>
    </x:xf>
    <x:xf numFmtId="0" fontId="9" fillId="0" borderId="85" xfId="0" applyNumberFormat="1" applyFont="1" applyFill="1" applyBorder="1" applyAlignment="1">
      <x:alignment horizontal="left" vertical="center"/>
    </x:xf>
    <x:xf numFmtId="0" fontId="2" fillId="0" borderId="85" xfId="0" applyNumberFormat="1" applyFont="1" applyFill="1" applyBorder="1" applyAlignment="1">
      <x:alignment horizontal="center" vertical="center"/>
    </x:xf>
    <x:xf numFmtId="0" fontId="2" fillId="0" borderId="84" xfId="0" applyNumberFormat="1" applyFont="1" applyFill="1" applyBorder="1" applyAlignment="1">
      <x:alignment horizontal="center" vertical="center"/>
    </x:xf>
    <x:xf numFmtId="0" fontId="2" fillId="0" borderId="79" xfId="0" applyNumberFormat="1" applyFont="1" applyFill="1" applyBorder="1" applyAlignment="1">
      <x:alignment horizontal="left" vertical="top"/>
    </x:xf>
    <x:xf numFmtId="0" fontId="2" fillId="0" borderId="86" xfId="0" applyNumberFormat="1" applyFont="1" applyFill="1" applyBorder="1" applyAlignment="1">
      <x:alignment horizontal="left" vertical="center"/>
    </x:xf>
    <x:xf numFmtId="0" fontId="9" fillId="0" borderId="86" xfId="0" applyNumberFormat="1" applyFont="1" applyFill="1" applyBorder="1" applyAlignment="1">
      <x:alignment horizontal="left" vertical="center"/>
    </x:xf>
    <x:xf numFmtId="0" fontId="2" fillId="0" borderId="86" xfId="0" applyNumberFormat="1" applyFont="1" applyFill="1" applyBorder="1" applyAlignment="1">
      <x:alignment horizontal="center" vertical="top"/>
    </x:xf>
    <x:xf numFmtId="0" fontId="2" fillId="0" borderId="79" xfId="0" applyNumberFormat="1" applyFont="1" applyFill="1" applyBorder="1" applyAlignment="1">
      <x:alignment horizontal="center" vertical="top"/>
    </x:xf>
    <x:xf numFmtId="0" fontId="5" fillId="0" borderId="79" xfId="0" applyNumberFormat="1" applyFont="1" applyFill="1" applyBorder="1" applyAlignment="1">
      <x:alignment horizontal="left" vertical="top"/>
    </x:xf>
    <x:xf numFmtId="0" fontId="5" fillId="0" borderId="86" xfId="0" applyNumberFormat="1" applyFont="1" applyFill="1" applyBorder="1" applyAlignment="1">
      <x:alignment horizontal="left" vertical="top" wrapText="1"/>
    </x:xf>
    <x:xf numFmtId="0" fontId="13" fillId="0" borderId="86" xfId="0" applyNumberFormat="1" applyFont="1" applyFill="1" applyBorder="1" applyAlignment="1">
      <x:alignment horizontal="left" vertical="center" wrapText="1"/>
    </x:xf>
    <x:xf numFmtId="0" fontId="5" fillId="0" borderId="86" xfId="0" applyNumberFormat="1" applyFont="1" applyFill="1" applyBorder="1" applyAlignment="1">
      <x:alignment horizontal="center" vertical="top"/>
    </x:xf>
    <x:xf numFmtId="0" fontId="13" fillId="0" borderId="83" xfId="0" applyNumberFormat="1" applyFont="1" applyFill="1" applyBorder="1" applyAlignment="1">
      <x:alignment horizontal="left" vertical="center" wrapText="1"/>
    </x:xf>
    <x:xf numFmtId="0" fontId="2" fillId="0" borderId="85" xfId="0" applyNumberFormat="1" applyFont="1" applyFill="1" applyBorder="1" applyAlignment="1">
      <x:alignment horizontal="left" vertical="top" wrapText="1"/>
    </x:xf>
    <x:xf numFmtId="0" fontId="2" fillId="0" borderId="84" xfId="0" applyNumberFormat="1" applyFont="1" applyFill="1" applyBorder="1" applyAlignment="1">
      <x:alignment vertical="center"/>
    </x:xf>
    <x:xf numFmtId="0" fontId="2" fillId="0" borderId="80" xfId="0" applyNumberFormat="1" applyFont="1" applyFill="1" applyBorder="1" applyAlignment="1">
      <x:alignment horizontal="left" vertical="top"/>
    </x:xf>
    <x:xf numFmtId="0" fontId="2" fillId="0" borderId="81" xfId="0" applyNumberFormat="1" applyFont="1" applyFill="1" applyBorder="1" applyAlignment="1">
      <x:alignment horizontal="left" vertical="top" wrapText="1"/>
    </x:xf>
    <x:xf numFmtId="0" fontId="9" fillId="0" borderId="81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center" vertical="center"/>
    </x:xf>
    <x:xf numFmtId="0" fontId="2" fillId="0" borderId="86" xfId="0" applyNumberFormat="1" applyFont="1" applyFill="1" applyBorder="1" applyAlignment="1">
      <x:alignment horizontal="left" vertical="top" wrapText="1"/>
    </x:xf>
    <x:xf numFmtId="0" fontId="2" fillId="0" borderId="86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/>
    </x:xf>
    <x:xf numFmtId="0" fontId="2" fillId="0" borderId="79" xfId="0" applyNumberFormat="1" applyFont="1" applyFill="1" applyBorder="1" applyAlignment="1">
      <x:alignment horizontal="left" vertical="center"/>
    </x:xf>
    <x:xf numFmtId="0" fontId="5" fillId="0" borderId="79" xfId="0" applyNumberFormat="1" applyFont="1" applyFill="1" applyBorder="1" applyAlignment="1">
      <x:alignment vertical="center"/>
    </x:xf>
    <x:xf numFmtId="0" fontId="2" fillId="0" borderId="84" xfId="0" applyNumberFormat="1" applyFont="1" applyFill="1" applyBorder="1" applyAlignment="1">
      <x:alignment horizontal="left" vertical="top" wrapText="1"/>
    </x:xf>
    <x:xf numFmtId="0" fontId="5" fillId="0" borderId="80" xfId="0" applyNumberFormat="1" applyFont="1" applyFill="1" applyBorder="1" applyAlignment="1">
      <x:alignment vertical="center"/>
    </x:xf>
    <x:xf numFmtId="0" fontId="2" fillId="0" borderId="80" xfId="0" applyNumberFormat="1" applyFont="1" applyFill="1" applyBorder="1" applyAlignment="1">
      <x:alignment horizontal="left" vertical="top" wrapText="1"/>
    </x:xf>
    <x:xf numFmtId="0" fontId="2" fillId="0" borderId="81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horizontal="center" vertical="top"/>
    </x:xf>
    <x:xf numFmtId="0" fontId="2" fillId="0" borderId="84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left" vertical="center"/>
    </x:xf>
    <x:xf numFmtId="0" fontId="2" fillId="0" borderId="80" xfId="0" applyNumberFormat="1" applyFont="1" applyFill="1" applyBorder="1" applyAlignment="1">
      <x:alignment horizontal="left" vertical="center"/>
    </x:xf>
    <x:xf numFmtId="0" fontId="14" fillId="2" borderId="80" xfId="0" applyNumberFormat="1" applyFont="1" applyFill="1" applyBorder="1" applyAlignment="1">
      <x:alignment vertical="center"/>
    </x:xf>
    <x:xf numFmtId="0" fontId="2" fillId="0" borderId="85" xfId="0" applyNumberFormat="1" applyFont="1" applyFill="1" applyBorder="1" applyAlignment="1">
      <x:alignment horizontal="left" vertical="top"/>
    </x:xf>
    <x:xf numFmtId="0" fontId="9" fillId="0" borderId="84" xfId="0" applyNumberFormat="1" applyFont="1" applyFill="1" applyBorder="1" applyAlignment="1">
      <x:alignment horizontal="left" vertical="center"/>
    </x:xf>
    <x:xf numFmtId="0" fontId="2" fillId="0" borderId="81" xfId="0" applyNumberFormat="1" applyFont="1" applyFill="1" applyBorder="1" applyAlignment="1">
      <x:alignment horizontal="left" vertical="top"/>
    </x:xf>
    <x:xf numFmtId="0" fontId="9" fillId="0" borderId="80" xfId="0" applyNumberFormat="1" applyFont="1" applyFill="1" applyBorder="1" applyAlignment="1">
      <x:alignment horizontal="left" vertical="center"/>
    </x:xf>
    <x:xf numFmtId="0" fontId="5" fillId="0" borderId="85" xfId="0" applyNumberFormat="1" applyFont="1" applyFill="1" applyBorder="1" applyAlignment="1">
      <x:alignment horizontal="left" vertical="center" wrapText="1"/>
    </x:xf>
    <x:xf numFmtId="0" fontId="2" fillId="0" borderId="81" xfId="0" applyNumberFormat="1" applyFont="1" applyFill="1" applyBorder="1" applyAlignment="1">
      <x:alignment horizontal="left" vertical="center" wrapText="1"/>
    </x:xf>
    <x:xf numFmtId="0" fontId="5" fillId="0" borderId="83" xfId="0" applyNumberFormat="1" applyFont="1" applyFill="1" applyBorder="1" applyAlignment="1">
      <x:alignment horizontal="center" vertical="top" wrapText="1"/>
    </x:xf>
    <x:xf numFmtId="0" fontId="9" fillId="0" borderId="86" xfId="0" applyNumberFormat="1" applyFont="1" applyFill="1" applyBorder="1" applyAlignment="1">
      <x:alignment horizontal="left" vertical="top"/>
    </x:xf>
    <x:xf numFmtId="0" fontId="5" fillId="0" borderId="83" xfId="0" applyNumberFormat="1" applyFont="1" applyFill="1" applyBorder="1" applyAlignment="1">
      <x:alignment horizontal="left" vertical="top" wrapText="1"/>
    </x:xf>
    <x:xf numFmtId="0" fontId="2" fillId="0" borderId="79" xfId="0" applyNumberFormat="1" applyFont="1" applyFill="1" applyBorder="1" applyAlignment="1">
      <x:alignment horizontal="left" vertical="top" wrapText="1"/>
    </x:xf>
    <x:xf numFmtId="0" fontId="5" fillId="0" borderId="78" xfId="0" applyNumberFormat="1" applyFont="1" applyFill="1" applyBorder="1" applyAlignment="1">
      <x:alignment horizontal="center" vertical="center"/>
    </x:xf>
    <x:xf numFmtId="168" fontId="5" fillId="0" borderId="78" xfId="0" applyNumberFormat="1" applyFont="1" applyFill="1" applyBorder="1" applyAlignment="1">
      <x:alignment horizontal="center" vertical="center"/>
    </x:xf>
    <x:xf numFmtId="168" fontId="2" fillId="0" borderId="78" xfId="0" applyNumberFormat="1" applyFont="1" applyFill="1" applyBorder="1" applyAlignment="1">
      <x:alignment horizontal="center" vertical="center"/>
    </x:xf>
    <x:xf numFmtId="0" fontId="2" fillId="0" borderId="78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 vertical="center"/>
    </x:xf>
    <x:xf numFmtId="9" fontId="0" fillId="0" borderId="80" xfId="0" applyNumberFormat="1" applyFont="1" applyFill="1" applyBorder="1" applyAlignment="1">
      <x:alignment horizontal="center" vertical="top"/>
    </x:xf>
    <x:xf numFmtId="9" fontId="0" fillId="0" borderId="80" xfId="0" applyNumberFormat="1" applyFont="1" applyFill="1" applyBorder="1" applyAlignment="1">
      <x:alignment horizontal="center" vertical="top" wrapText="1"/>
    </x:xf>
    <x:xf numFmtId="167" fontId="0" fillId="0" borderId="80" xfId="0" applyNumberFormat="1" applyFont="1" applyFill="1" applyBorder="1" applyAlignment="1">
      <x:alignment horizontal="center" vertical="top"/>
    </x:xf>
    <x:xf numFmtId="166" fontId="0" fillId="0" borderId="80" xfId="0" applyNumberFormat="1" applyFont="1" applyFill="1" applyBorder="1" applyAlignment="1">
      <x:alignment horizontal="center" vertical="top"/>
    </x:xf>
    <x:xf numFmtId="167" fontId="8" fillId="0" borderId="80" xfId="0" applyNumberFormat="1" applyFont="1" applyFill="1" applyBorder="1" applyAlignment="1">
      <x:alignment horizontal="center" vertical="top"/>
    </x:xf>
    <x:xf numFmtId="166" fontId="11" fillId="0" borderId="78" xfId="0" applyNumberFormat="1" applyFont="1" applyFill="1" applyBorder="1" applyAlignment="1">
      <x:alignment horizontal="center" vertical="top"/>
    </x:xf>
    <x:xf numFmtId="166" fontId="11" fillId="0" borderId="87" xfId="0" applyNumberFormat="1" applyFont="1" applyFill="1" applyBorder="1" applyAlignment="1">
      <x:alignment horizontal="center" vertical="center"/>
    </x:xf>
    <x:xf numFmtId="0" fontId="2" fillId="0" borderId="80" xfId="0" applyNumberFormat="1" applyFont="1" applyFill="1" applyBorder="1" applyAlignment="1">
      <x:alignment vertical="top"/>
    </x:xf>
    <x:xf numFmtId="0" fontId="11" fillId="0" borderId="78" xfId="0" applyNumberFormat="1" applyFont="1" applyFill="1" applyBorder="1" applyAlignment="1">
      <x:alignment vertical="top"/>
    </x:xf>
    <x:xf numFmtId="0" fontId="11" fillId="0" borderId="87" xfId="0" applyNumberFormat="1" applyFont="1" applyFill="1" applyBorder="1" applyAlignment="1">
      <x:alignment vertical="top"/>
    </x:xf>
    <x:xf numFmtId="0" fontId="0" fillId="0" borderId="80" xfId="0" applyNumberFormat="1" applyFont="1" applyFill="1" applyBorder="1" applyAlignment="1">
      <x:alignment vertical="center"/>
    </x:xf>
    <x:xf numFmtId="0" fontId="0" fillId="0" borderId="78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vertical="top" wrapText="1"/>
    </x:xf>
    <x:xf numFmtId="9" fontId="5" fillId="0" borderId="80" xfId="0" applyNumberFormat="1" applyFont="1" applyFill="1" applyBorder="1" applyAlignment="1">
      <x:alignment horizontal="center" vertical="top" wrapText="1"/>
    </x:xf>
    <x:xf numFmtId="9" fontId="2" fillId="0" borderId="80" xfId="0" applyNumberFormat="1" applyFont="1" applyFill="1" applyBorder="1" applyAlignment="1">
      <x:alignment horizontal="center" vertical="top" wrapText="1"/>
    </x:xf>
    <x:xf numFmtId="0" fontId="2" fillId="0" borderId="79" xfId="0" applyNumberFormat="1" applyFont="1" applyFill="1" applyBorder="1" applyAlignment="1">
      <x:alignment vertical="top" wrapText="1"/>
    </x:xf>
    <x:xf numFmtId="0" fontId="5" fillId="0" borderId="87" xfId="0" applyNumberFormat="1" applyFont="1" applyFill="1" applyBorder="1" applyAlignment="1">
      <x:alignment vertical="top" wrapText="1"/>
    </x:xf>
    <x:xf numFmtId="9" fontId="5" fillId="0" borderId="80" xfId="0" applyNumberFormat="1" applyFont="1" applyFill="1" applyBorder="1" applyAlignment="1">
      <x:alignment horizontal="center" vertical="top"/>
    </x:xf>
    <x:xf numFmtId="10" fontId="2" fillId="0" borderId="80" xfId="0" applyNumberFormat="1" applyFont="1" applyFill="1" applyBorder="1" applyAlignment="1">
      <x:alignment horizontal="center" vertical="top"/>
    </x:xf>
    <x:xf numFmtId="0" fontId="7" fillId="0" borderId="80" xfId="0" applyNumberFormat="1" applyFont="1" applyFill="1" applyBorder="1" applyAlignment="1">
      <x:alignment vertical="center"/>
    </x:xf>
    <x:xf numFmtId="0" fontId="2" fillId="0" borderId="78" xfId="0" applyNumberFormat="1" applyFont="1" applyFill="1" applyBorder="1" applyAlignment="1">
      <x:alignment vertical="top" wrapText="1"/>
    </x:xf>
    <x:xf numFmtId="0" fontId="2" fillId="0" borderId="86" xfId="0" applyNumberFormat="1" applyFont="1" applyFill="1" applyBorder="1" applyAlignment="1">
      <x:alignment vertical="top" wrapText="1"/>
    </x:xf>
    <x:xf numFmtId="10" fontId="2" fillId="0" borderId="80" xfId="0" applyNumberFormat="1" applyFont="1" applyFill="1" applyBorder="1" applyAlignment="1">
      <x:alignment horizontal="center" vertical="top" wrapText="1"/>
    </x:xf>
    <x:xf numFmtId="3" fontId="2" fillId="0" borderId="80" xfId="0" applyNumberFormat="1" applyFont="1" applyFill="1" applyBorder="1" applyAlignment="1">
      <x:alignment horizontal="center" vertical="top" wrapText="1"/>
    </x:xf>
    <x:xf numFmtId="3" fontId="26" fillId="0" borderId="80" xfId="0" applyNumberFormat="1" applyFont="1" applyFill="1" applyBorder="1" applyAlignment="1">
      <x:alignment horizontal="center" vertical="top"/>
    </x:xf>
    <x:xf numFmtId="0" fontId="2" fillId="0" borderId="80" xfId="0" applyNumberFormat="1" applyFont="1" applyFill="1" applyBorder="1" applyAlignment="1">
      <x:alignment horizontal="center" vertical="top" wrapText="1"/>
    </x:xf>
    <x:xf numFmtId="3" fontId="17" fillId="0" borderId="78" xfId="0" applyNumberFormat="1" applyFont="1" applyFill="1" applyBorder="1" applyAlignment="1">
      <x:alignment horizontal="center" vertical="top"/>
    </x:xf>
    <x:xf numFmtId="0" fontId="1" fillId="0" borderId="87" xfId="0" applyNumberFormat="1" applyFont="1" applyFill="1" applyBorder="1" applyAlignment="1">
      <x:alignment vertical="center"/>
    </x:xf>
    <x:xf numFmtId="3" fontId="17" fillId="0" borderId="87" xfId="0" applyNumberFormat="1" applyFont="1" applyFill="1" applyBorder="1" applyAlignment="1">
      <x:alignment horizontal="center" vertical="center"/>
    </x:xf>
    <x:xf numFmtId="0" fontId="2" fillId="0" borderId="88" xfId="0" applyNumberFormat="1" applyFont="1" applyFill="1" applyBorder="1" applyAlignment="1">
      <x:alignment vertical="top" wrapText="1"/>
    </x:xf>
    <x:xf numFmtId="0" fontId="2" fillId="0" borderId="81" xfId="0" applyNumberFormat="1" applyFont="1" applyFill="1" applyBorder="1" applyAlignment="1">
      <x:alignment vertical="top"/>
    </x:xf>
    <x:xf numFmtId="0" fontId="0" fillId="4" borderId="80" xfId="0" applyNumberFormat="1" applyFont="1" applyFill="1" applyBorder="1" applyAlignment="1">
      <x:alignment horizontal="center" vertical="top"/>
    </x:xf>
    <x:xf numFmtId="0" fontId="5" fillId="4" borderId="80" xfId="0" applyNumberFormat="1" applyFont="1" applyFill="1" applyBorder="1" applyAlignment="1">
      <x:alignment horizontal="center" vertical="center" wrapText="1"/>
    </x:xf>
    <x:xf numFmtId="0" fontId="5" fillId="4" borderId="80" xfId="0" applyNumberFormat="1" applyFont="1" applyFill="1" applyBorder="1" applyAlignment="1">
      <x:alignment horizontal="left" vertical="center" wrapText="1"/>
    </x:xf>
    <x:xf numFmtId="0" fontId="2" fillId="4" borderId="79" xfId="0" applyNumberFormat="1" applyFont="1" applyFill="1" applyBorder="1" applyAlignment="1">
      <x:alignment vertical="center" wrapText="1"/>
    </x:xf>
    <x:xf numFmtId="0" fontId="7" fillId="0" borderId="78" xfId="0" applyNumberFormat="1" applyFont="1" applyFill="1" applyBorder="1" applyAlignment="1">
      <x:alignment vertical="center"/>
    </x:xf>
    <x:xf numFmtId="9" fontId="0" fillId="0" borderId="80" xfId="0" applyNumberFormat="1" applyFont="1" applyFill="1" applyBorder="1" applyAlignment="1">
      <x:alignment vertical="top"/>
    </x:xf>
    <x:xf numFmtId="0" fontId="1" fillId="0" borderId="80" xfId="0" applyNumberFormat="1" applyFont="1" applyFill="1" applyBorder="1" applyAlignment="1">
      <x:alignment vertical="center" wrapText="1"/>
    </x:xf>
    <x:xf numFmtId="0" fontId="14" fillId="2" borderId="81" xfId="0" applyNumberFormat="1" applyFont="1" applyFill="1" applyBorder="1" applyAlignment="1">
      <x:alignment vertical="center"/>
    </x:xf>
    <x:xf numFmtId="0" fontId="2" fillId="0" borderId="89" xfId="0" applyNumberFormat="1" applyFont="1" applyFill="1" applyBorder="1" applyAlignment="1">
      <x:alignment horizontal="left" vertical="top"/>
    </x:xf>
    <x:xf numFmtId="0" fontId="5" fillId="0" borderId="80" xfId="0" applyNumberFormat="1" applyFont="1" applyFill="1" applyBorder="1" applyAlignment="1">
      <x:alignment vertical="top" wrapText="1"/>
    </x:xf>
    <x:xf numFmtId="0" fontId="5" fillId="0" borderId="79" xfId="0" applyNumberFormat="1" applyFont="1" applyFill="1" applyBorder="1" applyAlignment="1">
      <x:alignment vertical="top" wrapText="1"/>
    </x:xf>
    <x:xf numFmtId="0" fontId="2" fillId="0" borderId="88" xfId="0" applyNumberFormat="1" applyFont="1" applyFill="1" applyBorder="1" applyAlignment="1">
      <x:alignment horizontal="center" vertical="top" wrapText="1"/>
    </x:xf>
    <x:xf numFmtId="0" fontId="2" fillId="0" borderId="84" xfId="0" applyNumberFormat="1" applyFont="1" applyFill="1" applyBorder="1" applyAlignment="1">
      <x:alignment vertical="top" wrapText="1"/>
    </x:xf>
    <x:xf numFmtId="0" fontId="2" fillId="0" borderId="78" xfId="0" applyNumberFormat="1" applyFont="1" applyFill="1" applyBorder="1" applyAlignment="1">
      <x:alignment horizontal="center" vertical="top" wrapText="1"/>
    </x:xf>
    <x:xf numFmtId="0" fontId="2" fillId="0" borderId="84" xfId="0" applyNumberFormat="1" applyFont="1" applyFill="1" applyBorder="1" applyAlignment="1">
      <x:alignment horizontal="center" vertical="top"/>
    </x:xf>
    <x:xf numFmtId="0" fontId="2" fillId="0" borderId="85" xfId="0" applyNumberFormat="1" applyFont="1" applyFill="1" applyBorder="1" applyAlignment="1">
      <x:alignment horizontal="center" vertical="top"/>
    </x:xf>
    <x:xf numFmtId="0" fontId="2" fillId="0" borderId="90" xfId="0" applyNumberFormat="1" applyFont="1" applyFill="1" applyBorder="1" applyAlignment="1">
      <x:alignment horizontal="center" vertical="top"/>
    </x:xf>
    <x:xf numFmtId="0" fontId="5" fillId="0" borderId="91" xfId="0" applyNumberFormat="1" applyFont="1" applyFill="1" applyBorder="1" applyAlignment="1">
      <x:alignment vertical="center" wrapText="1"/>
    </x:xf>
    <x:xf numFmtId="0" fontId="5" fillId="0" borderId="91" xfId="0" applyNumberFormat="1" applyFont="1" applyFill="1" applyBorder="1" applyAlignment="1">
      <x:alignment horizontal="center" vertical="top"/>
    </x:xf>
    <x:xf numFmtId="0" fontId="2" fillId="0" borderId="78" xfId="0" applyNumberFormat="1" applyFont="1" applyFill="1" applyBorder="1" applyAlignment="1">
      <x:alignment horizontal="center" vertical="top"/>
    </x:xf>
    <x:xf numFmtId="0" fontId="5" fillId="0" borderId="78" xfId="0" applyNumberFormat="1" applyFont="1" applyFill="1" applyBorder="1" applyAlignment="1">
      <x:alignment horizontal="center" vertical="top" wrapText="1"/>
    </x:xf>
    <x:xf numFmtId="0" fontId="32" fillId="0" borderId="78" xfId="0" applyNumberFormat="1" applyFont="1" applyFill="1" applyBorder="1" applyAlignment="1">
      <x:alignment vertical="center"/>
    </x:xf>
    <x:xf numFmtId="0" fontId="3" fillId="0" borderId="85" xfId="0" applyNumberFormat="1" applyFont="1" applyFill="1" applyBorder="1" applyAlignment="1">
      <x:alignment horizontal="left" vertical="top" wrapText="1"/>
    </x:xf>
    <x:xf numFmtId="0" fontId="17" fillId="4" borderId="80" xfId="0" applyNumberFormat="1" applyFont="1" applyFill="1" applyBorder="1" applyAlignment="1">
      <x:alignment horizontal="center" vertical="center" wrapText="1"/>
    </x:xf>
    <x:xf numFmtId="0" fontId="5" fillId="0" borderId="86" xfId="0" applyNumberFormat="1" applyFont="1" applyFill="1" applyBorder="1" applyAlignment="1">
      <x:alignment horizontal="center" vertical="center" wrapText="1"/>
    </x:xf>
    <x:xf numFmtId="0" fontId="33" fillId="4" borderId="84" xfId="0" applyNumberFormat="1" applyFont="1" applyFill="1" applyBorder="1" applyAlignment="1">
      <x:alignment horizontal="center" vertical="center" wrapText="1"/>
    </x:xf>
    <x:xf numFmtId="0" fontId="5" fillId="0" borderId="89" xfId="0" applyNumberFormat="1" applyFont="1" applyFill="1" applyBorder="1" applyAlignment="1">
      <x:alignment horizontal="center" vertical="center"/>
    </x:xf>
    <x:xf numFmtId="0" fontId="2" fillId="0" borderId="89" xfId="0" applyNumberFormat="1" applyFont="1" applyFill="1" applyBorder="1" applyAlignment="1">
      <x:alignment horizontal="left" vertical="center"/>
    </x:xf>
    <x:xf numFmtId="0" fontId="2" fillId="0" borderId="90" xfId="0" applyNumberFormat="1" applyFont="1" applyFill="1" applyBorder="1" applyAlignment="1">
      <x:alignment horizontal="center" vertical="center"/>
    </x:xf>
    <x:xf numFmtId="0" fontId="2" fillId="0" borderId="90" xfId="0" applyNumberFormat="1" applyFont="1" applyFill="1" applyBorder="1" applyAlignment="1">
      <x:alignment horizontal="left" vertical="center"/>
    </x:xf>
    <x:xf numFmtId="0" fontId="9" fillId="0" borderId="90" xfId="0" applyNumberFormat="1" applyFont="1" applyFill="1" applyBorder="1" applyAlignment="1">
      <x:alignment horizontal="left" vertical="center"/>
    </x:xf>
    <x:xf numFmtId="0" fontId="5" fillId="0" borderId="89" xfId="0" applyNumberFormat="1" applyFont="1" applyFill="1" applyBorder="1" applyAlignment="1">
      <x:alignment vertical="center"/>
    </x:xf>
    <x:xf numFmtId="0" fontId="2" fillId="0" borderId="89" xfId="0" applyNumberFormat="1" applyFont="1" applyFill="1" applyBorder="1" applyAlignment="1">
      <x:alignment vertical="center"/>
    </x:xf>
    <x:xf numFmtId="0" fontId="5" fillId="0" borderId="85" xfId="0" applyNumberFormat="1" applyFont="1" applyFill="1" applyBorder="1" applyAlignment="1">
      <x:alignment horizontal="center" vertical="top"/>
    </x:xf>
    <x:xf numFmtId="0" fontId="5" fillId="0" borderId="85" xfId="0" applyNumberFormat="1" applyFont="1" applyFill="1" applyBorder="1" applyAlignment="1">
      <x:alignment horizontal="left" vertical="top" wrapText="1"/>
    </x:xf>
    <x:xf numFmtId="0" fontId="5" fillId="0" borderId="81" xfId="0" applyNumberFormat="1" applyFont="1" applyFill="1" applyBorder="1" applyAlignment="1">
      <x:alignment horizontal="left" vertical="center" wrapText="1"/>
    </x:xf>
    <x:xf numFmtId="0" fontId="2" fillId="0" borderId="92" xfId="0" applyNumberFormat="1" applyFont="1" applyFill="1" applyBorder="1" applyAlignment="1">
      <x:alignment vertical="center"/>
    </x:xf>
    <x:xf numFmtId="0" fontId="2" fillId="0" borderId="82" xfId="0" applyNumberFormat="1" applyFont="1" applyFill="1" applyBorder="1" applyAlignment="1">
      <x:alignment horizontal="left" vertical="center"/>
    </x:xf>
    <x:xf numFmtId="0" fontId="2" fillId="0" borderId="83" xfId="0" applyNumberFormat="1" applyFont="1" applyFill="1" applyBorder="1" applyAlignment="1">
      <x:alignment horizontal="center" vertical="center"/>
    </x:xf>
    <x:xf numFmtId="0" fontId="2" fillId="0" borderId="83" xfId="0" applyNumberFormat="1" applyFont="1" applyFill="1" applyBorder="1" applyAlignment="1">
      <x:alignment horizontal="left" vertical="center"/>
    </x:xf>
    <x:xf numFmtId="0" fontId="2" fillId="0" borderId="83" xfId="0" applyNumberFormat="1" applyFont="1" applyFill="1" applyBorder="1" applyAlignment="1">
      <x:alignment horizontal="center" vertical="top"/>
    </x:xf>
    <x:xf numFmtId="0" fontId="34" fillId="0" borderId="92" xfId="0" applyNumberFormat="1" applyFont="1" applyFill="1" applyBorder="1" applyAlignment="1">
      <x:alignment vertical="center"/>
    </x:xf>
    <x:xf numFmtId="0" fontId="9" fillId="0" borderId="83" xfId="0" applyNumberFormat="1" applyFont="1" applyFill="1" applyBorder="1" applyAlignment="1">
      <x:alignment horizontal="left" vertical="center"/>
    </x:xf>
    <x:xf numFmtId="0" fontId="2" fillId="0" borderId="82" xfId="0" applyNumberFormat="1" applyFont="1" applyFill="1" applyBorder="1" applyAlignment="1">
      <x:alignment vertical="center"/>
    </x:xf>
    <x:xf numFmtId="0" fontId="2" fillId="0" borderId="90" xfId="0" applyNumberFormat="1" applyFont="1" applyFill="1" applyBorder="1" applyAlignment="1">
      <x:alignment horizontal="left" vertical="top" wrapText="1"/>
    </x:xf>
    <x:xf numFmtId="0" fontId="2" fillId="0" borderId="86" xfId="0" applyNumberFormat="1" applyFont="1" applyFill="1" applyBorder="1" applyAlignment="1">
      <x:alignment horizontal="left" vertical="center" wrapText="1"/>
    </x:xf>
    <x:xf numFmtId="0" fontId="5" fillId="0" borderId="82" xfId="0" applyNumberFormat="1" applyFont="1" applyFill="1" applyBorder="1" applyAlignment="1">
      <x:alignment vertical="center" wrapText="1"/>
    </x:xf>
    <x:xf numFmtId="0" fontId="2" fillId="0" borderId="82" xfId="0" applyNumberFormat="1" applyFont="1" applyFill="1" applyBorder="1" applyAlignment="1">
      <x:alignment horizontal="left" vertical="center" wrapText="1"/>
    </x:xf>
    <x:xf numFmtId="0" fontId="5" fillId="0" borderId="82" xfId="0" applyNumberFormat="1" applyFont="1" applyFill="1" applyBorder="1" applyAlignment="1">
      <x:alignment vertical="center"/>
    </x:xf>
    <x:xf numFmtId="0" fontId="9" fillId="0" borderId="82" xfId="0" applyNumberFormat="1" applyFont="1" applyFill="1" applyBorder="1" applyAlignment="1">
      <x:alignment vertical="center"/>
    </x:xf>
    <x:xf numFmtId="0" fontId="12" fillId="0" borderId="82" xfId="0" applyNumberFormat="1" applyFont="1" applyFill="1" applyBorder="1" applyAlignment="1">
      <x:alignment horizontal="center" vertical="center"/>
    </x:xf>
    <x:xf numFmtId="0" fontId="2" fillId="0" borderId="93" xfId="0" applyNumberFormat="1" applyFont="1" applyFill="1" applyBorder="1" applyAlignment="1">
      <x:alignment horizontal="left" vertical="top"/>
    </x:xf>
    <x:xf numFmtId="0" fontId="2" fillId="0" borderId="94" xfId="0" applyNumberFormat="1" applyFont="1" applyFill="1" applyBorder="1" applyAlignment="1">
      <x:alignment horizontal="left" vertical="top"/>
    </x:xf>
    <x:xf numFmtId="0" fontId="5" fillId="0" borderId="94" xfId="0" applyNumberFormat="1" applyFont="1" applyFill="1" applyBorder="1" applyAlignment="1">
      <x:alignment horizontal="left" vertical="top"/>
    </x:xf>
    <x:xf numFmtId="0" fontId="5" fillId="0" borderId="95" xfId="0" applyNumberFormat="1" applyFont="1" applyFill="1" applyBorder="1" applyAlignment="1">
      <x:alignment horizontal="left" vertical="top"/>
    </x:xf>
    <x:xf numFmtId="0" fontId="2" fillId="0" borderId="96" xfId="0" applyNumberFormat="1" applyFont="1" applyFill="1" applyBorder="1" applyAlignment="1">
      <x:alignment horizontal="left" vertical="top"/>
    </x:xf>
    <x:xf numFmtId="0" fontId="2" fillId="0" borderId="94" xfId="0" applyNumberFormat="1" applyFont="1" applyFill="1" applyBorder="1" applyAlignment="1">
      <x:alignment horizontal="left" vertical="center"/>
    </x:xf>
    <x:xf numFmtId="0" fontId="2" fillId="0" borderId="97" xfId="0" applyNumberFormat="1" applyFont="1" applyFill="1" applyBorder="1" applyAlignment="1">
      <x:alignment horizontal="left" vertical="center"/>
    </x:xf>
    <x:xf numFmtId="0" fontId="2" fillId="0" borderId="97" xfId="0" applyNumberFormat="1" applyFont="1" applyFill="1" applyBorder="1" applyAlignment="1">
      <x:alignment horizontal="left" vertical="top"/>
    </x:xf>
    <x:xf numFmtId="0" fontId="2" fillId="0" borderId="95" xfId="0" applyNumberFormat="1" applyFont="1" applyFill="1" applyBorder="1" applyAlignment="1">
      <x:alignment horizontal="left" vertical="center"/>
    </x:xf>
    <x:xf numFmtId="0" fontId="2" fillId="0" borderId="93" xfId="0" applyNumberFormat="1" applyFont="1" applyFill="1" applyBorder="1" applyAlignment="1">
      <x:alignment horizontal="left" vertical="center"/>
    </x:xf>
    <x:xf numFmtId="0" fontId="5" fillId="0" borderId="96" xfId="0" applyNumberFormat="1" applyFont="1" applyFill="1" applyBorder="1" applyAlignment="1">
      <x:alignment horizontal="left" vertical="top" wrapText="1"/>
    </x:xf>
    <x:xf numFmtId="0" fontId="5" fillId="0" borderId="95" xfId="0" applyNumberFormat="1" applyFont="1" applyFill="1" applyBorder="1" applyAlignment="1">
      <x:alignment vertical="top"/>
    </x:xf>
    <x:xf numFmtId="0" fontId="2" fillId="0" borderId="96" xfId="0" applyNumberFormat="1" applyFont="1" applyFill="1" applyBorder="1" applyAlignment="1">
      <x:alignment horizontal="left" vertical="center"/>
    </x:xf>
    <x:xf numFmtId="0" fontId="2" fillId="0" borderId="93" xfId="0" applyNumberFormat="1" applyFont="1" applyFill="1" applyBorder="1" applyAlignment="1">
      <x:alignment vertical="center"/>
    </x:xf>
    <x:xf numFmtId="0" fontId="5" fillId="0" borderId="81" xfId="0" applyNumberFormat="1" applyFont="1" applyFill="1" applyBorder="1" applyAlignment="1">
      <x:alignment vertical="top" wrapText="1"/>
    </x:xf>
    <x:xf numFmtId="0" fontId="7" fillId="0" borderId="93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horizontal="center"/>
    </x:xf>
    <x:xf numFmtId="0" fontId="1" fillId="0" borderId="78" xfId="0" applyNumberFormat="1" applyFont="1" applyFill="1" applyBorder="1"/>
    <x:xf numFmtId="0" fontId="1" fillId="0" borderId="78" xfId="0" applyNumberFormat="1" applyFont="1" applyFill="1" applyBorder="1" applyAlignment="1">
      <x:alignment horizontal="center" vertical="top"/>
    </x:xf>
    <x:xf numFmtId="0" fontId="1" fillId="0" borderId="78" xfId="0" applyNumberFormat="1" applyFont="1" applyFill="1" applyBorder="1" applyAlignment="1">
      <x:alignment vertical="top" wrapText="1"/>
    </x:xf>
    <x:xf numFmtId="0" fontId="35" fillId="0" borderId="78" xfId="0" applyNumberFormat="1" applyFont="1" applyFill="1" applyBorder="1" applyAlignment="1">
      <x:alignment wrapText="1"/>
    </x:xf>
    <x:xf numFmtId="0" fontId="36" fillId="0" borderId="78" xfId="0" applyNumberFormat="1" applyFont="1" applyFill="1" applyBorder="1" applyAlignment="1">
      <x:alignment horizontal="center"/>
    </x:xf>
    <x:xf numFmtId="0" fontId="1" fillId="0" borderId="81" xfId="0" applyNumberFormat="1" applyFont="1" applyFill="1" applyBorder="1" applyAlignment="1">
      <x:alignment horizontal="center" vertical="center" wrapText="1"/>
    </x:xf>
    <x:xf numFmtId="0" fontId="1" fillId="0" borderId="80" xfId="0" applyNumberFormat="1" applyFont="1" applyFill="1" applyBorder="1" applyAlignment="1">
      <x:alignment horizontal="center" vertical="center" wrapText="1"/>
    </x:xf>
    <x:xf numFmtId="0" fontId="1" fillId="0" borderId="98" xfId="0" applyNumberFormat="1" applyFont="1" applyFill="1" applyBorder="1" applyAlignment="1">
      <x:alignment horizontal="center" vertical="center" wrapText="1"/>
    </x:xf>
    <x:xf numFmtId="0" fontId="1" fillId="0" borderId="79" xfId="0" applyNumberFormat="1" applyFont="1" applyFill="1" applyBorder="1" applyAlignment="1">
      <x:alignment horizontal="center"/>
    </x:xf>
    <x:xf numFmtId="0" fontId="1" fillId="0" borderId="86" xfId="0" applyNumberFormat="1" applyFont="1" applyFill="1" applyBorder="1" applyAlignment="1">
      <x:alignment horizontal="center"/>
    </x:xf>
    <x:xf numFmtId="0" fontId="1" fillId="0" borderId="79" xfId="0" applyNumberFormat="1" applyFont="1" applyFill="1" applyBorder="1" applyAlignment="1">
      <x:alignment horizontal="center" vertical="top"/>
    </x:xf>
    <x:xf numFmtId="0" fontId="1" fillId="0" borderId="80" xfId="0" applyNumberFormat="1" applyFont="1" applyFill="1" applyBorder="1" applyAlignment="1">
      <x:alignment horizontal="center"/>
    </x:xf>
    <x:xf numFmtId="0" fontId="35" fillId="0" borderId="80" xfId="0" applyNumberFormat="1" applyFont="1" applyFill="1" applyBorder="1" applyAlignment="1">
      <x:alignment horizontal="center" wrapText="1"/>
    </x:xf>
    <x:xf numFmtId="0" fontId="1" fillId="0" borderId="89" xfId="0" applyNumberFormat="1" applyFont="1" applyFill="1" applyBorder="1" applyAlignment="1">
      <x:alignment horizontal="center" vertical="top"/>
    </x:xf>
    <x:xf numFmtId="0" fontId="1" fillId="0" borderId="90" xfId="0" applyNumberFormat="1" applyFont="1" applyFill="1" applyBorder="1" applyAlignment="1">
      <x:alignment horizontal="center" vertical="top"/>
    </x:xf>
    <x:xf numFmtId="0" fontId="1" fillId="0" borderId="99" xfId="0" applyNumberFormat="1" applyFont="1" applyFill="1" applyBorder="1" applyAlignment="1">
      <x:alignment vertical="top"/>
    </x:xf>
    <x:xf numFmtId="0" fontId="1" fillId="0" borderId="89" xfId="0" applyNumberFormat="1" applyFont="1" applyFill="1" applyBorder="1" applyAlignment="1">
      <x:alignment vertical="top"/>
    </x:xf>
    <x:xf numFmtId="0" fontId="1" fillId="0" borderId="79" xfId="0" applyNumberFormat="1" applyFont="1" applyFill="1" applyBorder="1" applyAlignment="1">
      <x:alignment vertical="top"/>
    </x:xf>
    <x:xf numFmtId="0" fontId="1" fillId="0" borderId="79" xfId="0" applyNumberFormat="1" applyFont="1" applyFill="1" applyBorder="1"/>
    <x:xf numFmtId="0" fontId="41" fillId="0" borderId="90" xfId="0" applyNumberFormat="1" applyFont="1" applyFill="1" applyBorder="1"/>
    <x:xf numFmtId="0" fontId="41" fillId="0" borderId="90" xfId="0" applyNumberFormat="1" applyFont="1" applyFill="1" applyBorder="1" applyAlignment="1">
      <x:alignment horizontal="center" vertical="top"/>
    </x:xf>
    <x:xf numFmtId="0" fontId="41" fillId="0" borderId="97" xfId="0" applyNumberFormat="1" applyFont="1" applyFill="1" applyBorder="1" applyAlignment="1">
      <x:alignment vertical="top" wrapText="1"/>
    </x:xf>
    <x:xf numFmtId="0" fontId="35" fillId="0" borderId="89" xfId="0" applyNumberFormat="1" applyFont="1" applyFill="1" applyBorder="1" applyAlignment="1">
      <x:alignment vertical="top" wrapText="1"/>
    </x:xf>
    <x:xf numFmtId="0" fontId="42" fillId="0" borderId="89" xfId="0" applyNumberFormat="1" applyFont="1" applyFill="1" applyBorder="1" applyAlignment="1">
      <x:alignment vertical="top" wrapText="1"/>
    </x:xf>
    <x:xf numFmtId="0" fontId="36" fillId="0" borderId="89" xfId="0" applyNumberFormat="1" applyFont="1" applyFill="1" applyBorder="1" applyAlignment="1">
      <x:alignment horizontal="center" vertical="top" wrapText="1"/>
    </x:xf>
    <x:xf numFmtId="0" fontId="43" fillId="0" borderId="78" xfId="0" applyNumberFormat="1" applyFont="1" applyFill="1" applyBorder="1" applyAlignment="1">
      <x:alignment vertical="top" wrapText="1"/>
    </x:xf>
    <x:xf numFmtId="0" fontId="1" fillId="0" borderId="89" xfId="0" applyNumberFormat="1" applyFont="1" applyFill="1" applyBorder="1" applyAlignment="1">
      <x:alignment horizontal="center" vertical="center"/>
    </x:xf>
    <x:xf numFmtId="0" fontId="1" fillId="0" borderId="78" xfId="0" applyNumberFormat="1" applyFont="1" applyFill="1" applyBorder="1" applyAlignment="1">
      <x:alignment horizontal="center" vertical="center"/>
    </x:xf>
    <x:xf numFmtId="0" fontId="1" fillId="0" borderId="99" xfId="0" applyNumberFormat="1" applyFont="1" applyFill="1" applyBorder="1" applyAlignment="1">
      <x:alignment vertical="center"/>
    </x:xf>
    <x:xf numFmtId="0" fontId="1" fillId="0" borderId="89" xfId="0" applyNumberFormat="1" applyFont="1" applyFill="1" applyBorder="1" applyAlignment="1">
      <x:alignment vertical="center"/>
    </x:xf>
    <x:xf numFmtId="0" fontId="36" fillId="0" borderId="89" xfId="0" applyNumberFormat="1" applyFont="1" applyFill="1" applyBorder="1" applyAlignment="1">
      <x:alignment horizontal="center" vertical="top"/>
    </x:xf>
    <x:xf numFmtId="0" fontId="43" fillId="0" borderId="78" xfId="0" applyNumberFormat="1" applyFont="1" applyFill="1" applyBorder="1" applyAlignment="1">
      <x:alignment wrapText="1"/>
    </x:xf>
    <x:xf numFmtId="9" fontId="1" fillId="0" borderId="89" xfId="0" applyNumberFormat="1" applyFont="1" applyFill="1" applyBorder="1" applyAlignment="1">
      <x:alignment horizontal="center" vertical="top"/>
    </x:xf>
    <x:xf numFmtId="0" fontId="35" fillId="0" borderId="89" xfId="0" applyNumberFormat="1" applyFont="1" applyFill="1" applyBorder="1" applyAlignment="1">
      <x:alignment vertical="center" wrapText="1"/>
    </x:xf>
    <x:xf numFmtId="0" fontId="40" fillId="0" borderId="89" xfId="0" applyNumberFormat="1" applyFont="1" applyFill="1" applyBorder="1" applyAlignment="1">
      <x:alignment horizontal="center" vertical="top" wrapText="1"/>
    </x:xf>
    <x:xf numFmtId="0" fontId="41" fillId="0" borderId="78" xfId="0" applyNumberFormat="1" applyFont="1" applyFill="1" applyBorder="1" applyAlignment="1">
      <x:alignment vertical="top" wrapText="1"/>
    </x:xf>
    <x:xf numFmtId="3" fontId="1" fillId="0" borderId="90" xfId="0" applyNumberFormat="1" applyFont="1" applyFill="1" applyBorder="1" applyAlignment="1">
      <x:alignment horizontal="center" vertical="center"/>
    </x:xf>
    <x:xf numFmtId="0" fontId="7" fillId="0" borderId="89" xfId="0" applyNumberFormat="1" applyFont="1" applyFill="1" applyBorder="1" applyAlignment="1">
      <x:alignment horizontal="center" vertical="top"/>
    </x:xf>
    <x:xf numFmtId="3" fontId="1" fillId="0" borderId="90" xfId="0" applyNumberFormat="1" applyFont="1" applyFill="1" applyBorder="1" applyAlignment="1">
      <x:alignment horizontal="center" vertical="top"/>
    </x:xf>
    <x:xf numFmtId="0" fontId="44" fillId="0" borderId="89" xfId="0" applyNumberFormat="1" applyFont="1" applyFill="1" applyBorder="1" applyAlignment="1">
      <x:alignment horizontal="center" vertical="top" wrapText="1"/>
    </x:xf>
    <x:xf numFmtId="0" fontId="36" fillId="0" borderId="89" xfId="0" applyNumberFormat="1" applyFont="1" applyFill="1" applyBorder="1" applyAlignment="1">
      <x:alignment vertical="top" wrapText="1"/>
    </x:xf>
    <x:xf numFmtId="0" fontId="45" fillId="0" borderId="78" xfId="0" applyNumberFormat="1" applyFont="1" applyFill="1" applyBorder="1" applyAlignment="1">
      <x:alignment vertical="top" wrapText="1"/>
    </x:xf>
    <x:xf numFmtId="0" fontId="36" fillId="0" borderId="85" xfId="0" applyNumberFormat="1" applyFont="1" applyFill="1" applyBorder="1"/>
    <x:xf numFmtId="0" fontId="36" fillId="0" borderId="85" xfId="0" applyNumberFormat="1" applyFont="1" applyFill="1" applyBorder="1" applyAlignment="1">
      <x:alignment horizontal="center" vertical="top"/>
    </x:xf>
    <x:xf numFmtId="0" fontId="36" fillId="0" borderId="96" xfId="0" applyNumberFormat="1" applyFont="1" applyFill="1" applyBorder="1" applyAlignment="1">
      <x:alignment vertical="top" wrapText="1"/>
    </x:xf>
    <x:xf numFmtId="0" fontId="1" fillId="0" borderId="84" xfId="0" applyNumberFormat="1" applyFont="1" applyFill="1" applyBorder="1" applyAlignment="1">
      <x:alignment horizontal="center" vertical="top"/>
    </x:xf>
    <x:xf numFmtId="0" fontId="1" fillId="0" borderId="84" xfId="0" applyNumberFormat="1" applyFont="1" applyFill="1" applyBorder="1" applyAlignment="1">
      <x:alignment horizontal="center"/>
    </x:xf>
    <x:xf numFmtId="0" fontId="1" fillId="0" borderId="85" xfId="0" applyNumberFormat="1" applyFont="1" applyFill="1" applyBorder="1" applyAlignment="1">
      <x:alignment horizontal="center"/>
    </x:xf>
    <x:xf numFmtId="0" fontId="1" fillId="0" borderId="100" xfId="0" applyNumberFormat="1" applyFont="1" applyFill="1" applyBorder="1"/>
    <x:xf numFmtId="0" fontId="1" fillId="0" borderId="84" xfId="0" applyNumberFormat="1" applyFont="1" applyFill="1" applyBorder="1"/>
    <x:xf numFmtId="0" fontId="35" fillId="0" borderId="84" xfId="0" applyNumberFormat="1" applyFont="1" applyFill="1" applyBorder="1" applyAlignment="1">
      <x:alignment wrapText="1"/>
    </x:xf>
    <x:xf numFmtId="0" fontId="42" fillId="0" borderId="84" xfId="0" applyNumberFormat="1" applyFont="1" applyFill="1" applyBorder="1" applyAlignment="1">
      <x:alignment vertical="top" wrapText="1"/>
    </x:xf>
    <x:xf numFmtId="0" fontId="36" fillId="0" borderId="84" xfId="0" applyNumberFormat="1" applyFont="1" applyFill="1" applyBorder="1" applyAlignment="1">
      <x:alignment horizontal="center"/>
    </x:xf>
    <x:xf numFmtId="0" fontId="48" fillId="2" borderId="78" xfId="0" applyNumberFormat="1" applyFont="1" applyFill="1" applyBorder="1"/>
    <x:xf numFmtId="0" fontId="36" fillId="2" borderId="78" xfId="0" applyNumberFormat="1" applyFont="1" applyFill="1" applyBorder="1"/>
    <x:xf numFmtId="0" fontId="36" fillId="0" borderId="78" xfId="0" applyNumberFormat="1" applyFont="1" applyFill="1" applyBorder="1"/>
    <x:xf numFmtId="0" fontId="1" fillId="0" borderId="86" xfId="0" applyNumberFormat="1" applyFont="1" applyFill="1" applyBorder="1" applyAlignment="1">
      <x:alignment horizontal="center" vertical="top"/>
    </x:xf>
    <x:xf numFmtId="168" fontId="52" fillId="2" borderId="101" xfId="0" applyNumberFormat="1" applyFont="1" applyFill="1" applyBorder="1" applyAlignment="1">
      <x:alignment horizontal="right" vertical="top"/>
    </x:xf>
    <x:xf numFmtId="168" fontId="53" fillId="2" borderId="102" xfId="0" applyNumberFormat="1" applyFont="1" applyFill="1" applyBorder="1" applyAlignment="1">
      <x:alignment horizontal="right" vertical="top"/>
    </x:xf>
    <x:xf numFmtId="0" fontId="1" fillId="0" borderId="90" xfId="0" applyNumberFormat="1" applyFont="1" applyFill="1" applyBorder="1" applyAlignment="1">
      <x:alignment horizontal="center" vertical="center"/>
    </x:xf>
    <x:xf numFmtId="0" fontId="42" fillId="0" borderId="89" xfId="0" applyNumberFormat="1" applyFont="1" applyFill="1" applyBorder="1" applyAlignment="1">
      <x:alignment vertical="center"/>
    </x:xf>
    <x:xf numFmtId="0" fontId="42" fillId="0" borderId="97" xfId="0" applyNumberFormat="1" applyFont="1" applyFill="1" applyBorder="1" applyAlignment="1">
      <x:alignment vertical="center"/>
    </x:xf>
    <x:xf numFmtId="0" fontId="1" fillId="0" borderId="89" xfId="0" applyNumberFormat="1" applyFont="1" applyFill="1" applyBorder="1"/>
    <x:xf numFmtId="0" fontId="42" fillId="0" borderId="89" xfId="0" applyNumberFormat="1" applyFont="1" applyFill="1" applyBorder="1"/>
    <x:xf numFmtId="0" fontId="42" fillId="0" borderId="97" xfId="0" applyNumberFormat="1" applyFont="1" applyFill="1" applyBorder="1"/>
    <x:xf numFmtId="0" fontId="1" fillId="0" borderId="84" xfId="0" applyNumberFormat="1" applyFont="1" applyFill="1" applyBorder="1" applyAlignment="1">
      <x:alignment horizontal="left" vertical="top" wrapText="1"/>
    </x:xf>
    <x:xf numFmtId="0" fontId="1" fillId="0" borderId="84" xfId="0" applyNumberFormat="1" applyFont="1" applyFill="1" applyBorder="1" applyAlignment="1">
      <x:alignment vertical="center"/>
    </x:xf>
    <x:xf numFmtId="0" fontId="42" fillId="0" borderId="84" xfId="0" applyNumberFormat="1" applyFont="1" applyFill="1" applyBorder="1" applyAlignment="1">
      <x:alignment vertical="center"/>
    </x:xf>
    <x:xf numFmtId="0" fontId="42" fillId="0" borderId="96" xfId="0" applyNumberFormat="1" applyFont="1" applyFill="1" applyBorder="1" applyAlignment="1">
      <x:alignment vertical="center"/>
    </x:xf>
    <x:xf numFmtId="168" fontId="42" fillId="0" borderId="89" xfId="0" applyNumberFormat="1" applyFont="1" applyFill="1" applyBorder="1"/>
    <x:xf numFmtId="168" fontId="53" fillId="2" borderId="79" xfId="0" applyNumberFormat="1" applyFont="1" applyFill="1" applyBorder="1" applyAlignment="1">
      <x:alignment horizontal="right" vertical="center"/>
    </x:xf>
    <x:xf numFmtId="0" fontId="7" fillId="0" borderId="97" xfId="0" applyNumberFormat="1" applyFont="1" applyFill="1" applyBorder="1"/>
    <x:xf numFmtId="0" fontId="7" fillId="0" borderId="89" xfId="0" applyNumberFormat="1" applyFont="1" applyFill="1" applyBorder="1"/>
    <x:xf numFmtId="0" fontId="1" fillId="0" borderId="90" xfId="0" applyNumberFormat="1" applyFont="1" applyFill="1" applyBorder="1" applyAlignment="1">
      <x:alignment horizontal="center"/>
    </x:xf>
    <x:xf numFmtId="0" fontId="1" fillId="0" borderId="90" xfId="0" applyNumberFormat="1" applyFont="1" applyFill="1" applyBorder="1"/>
    <x:xf numFmtId="0" fontId="42" fillId="0" borderId="79" xfId="0" applyNumberFormat="1" applyFont="1" applyFill="1" applyBorder="1" applyAlignment="1">
      <x:alignment vertical="top" wrapText="1"/>
    </x:xf>
    <x:xf numFmtId="0" fontId="1" fillId="0" borderId="79" xfId="0" applyNumberFormat="1" applyFont="1" applyFill="1" applyBorder="1" applyAlignment="1">
      <x:alignment vertical="top" wrapText="1"/>
    </x:xf>
    <x:xf numFmtId="0" fontId="1" fillId="0" borderId="97" xfId="0" applyNumberFormat="1" applyFont="1" applyFill="1" applyBorder="1"/>
    <x:xf numFmtId="168" fontId="42" fillId="0" borderId="89" xfId="0" applyNumberFormat="1" applyFont="1" applyFill="1" applyBorder="1" applyAlignment="1">
      <x:alignment vertical="top"/>
    </x:xf>
    <x:xf numFmtId="0" fontId="1" fillId="0" borderId="89" xfId="0" applyNumberFormat="1" applyFont="1" applyFill="1" applyBorder="1" applyAlignment="1">
      <x:alignment vertical="top" wrapText="1"/>
    </x:xf>
    <x:xf numFmtId="0" fontId="42" fillId="0" borderId="84" xfId="0" applyNumberFormat="1" applyFont="1" applyFill="1" applyBorder="1"/>
    <x:xf numFmtId="0" fontId="1" fillId="0" borderId="88" xfId="0" applyNumberFormat="1" applyFont="1" applyFill="1" applyBorder="1"/>
    <x:xf numFmtId="0" fontId="42" fillId="0" borderId="96" xfId="0" applyNumberFormat="1" applyFont="1" applyFill="1" applyBorder="1"/>
    <x:xf numFmtId="0" fontId="1" fillId="0" borderId="84" xfId="0" applyNumberFormat="1" applyFont="1" applyFill="1" applyBorder="1" applyAlignment="1">
      <x:alignment vertical="top" wrapText="1"/>
    </x:xf>
    <x:xf numFmtId="0" fontId="36" fillId="0" borderId="84" xfId="0" applyNumberFormat="1" applyFont="1" applyFill="1" applyBorder="1" applyAlignment="1">
      <x:alignment vertical="top" wrapText="1"/>
    </x:xf>
    <x:xf numFmtId="0" fontId="1" fillId="0" borderId="86" xfId="0" applyNumberFormat="1" applyFont="1" applyFill="1" applyBorder="1"/>
    <x:xf numFmtId="0" fontId="36" fillId="0" borderId="79" xfId="0" applyNumberFormat="1" applyFont="1" applyFill="1" applyBorder="1"/>
    <x:xf numFmtId="168" fontId="53" fillId="0" borderId="89" xfId="0" applyNumberFormat="1" applyFont="1" applyFill="1" applyBorder="1" applyAlignment="1">
      <x:alignment horizontal="right" vertical="center"/>
    </x:xf>
    <x:xf numFmtId="0" fontId="7" fillId="0" borderId="84" xfId="0" applyNumberFormat="1" applyFont="1" applyFill="1" applyBorder="1"/>
    <x:xf numFmtId="0" fontId="57" fillId="0" borderId="103" xfId="0" applyNumberFormat="1" applyFont="1" applyFill="1" applyBorder="1" applyAlignment="1">
      <x:alignment horizontal="center" vertical="center" wrapText="1"/>
    </x:xf>
    <x:xf numFmtId="0" fontId="57" fillId="0" borderId="104" xfId="0" applyNumberFormat="1" applyFont="1" applyFill="1" applyBorder="1" applyAlignment="1">
      <x:alignment horizontal="center" vertical="center" wrapText="1"/>
    </x:xf>
    <x:xf numFmtId="0" fontId="57" fillId="0" borderId="105" xfId="0" applyNumberFormat="1" applyFont="1" applyFill="1" applyBorder="1" applyAlignment="1">
      <x:alignment horizontal="center" vertical="center" wrapText="1"/>
    </x:xf>
    <x:xf numFmtId="0" fontId="57" fillId="0" borderId="106" xfId="0" applyNumberFormat="1" applyFont="1" applyFill="1" applyBorder="1" applyAlignment="1">
      <x:alignment horizontal="center" vertical="center" wrapText="1"/>
    </x:xf>
    <x:xf numFmtId="0" fontId="57" fillId="0" borderId="107" xfId="0" applyNumberFormat="1" applyFont="1" applyFill="1" applyBorder="1" applyAlignment="1">
      <x:alignment horizontal="center" vertical="center" wrapText="1"/>
    </x:xf>
    <x:xf numFmtId="0" fontId="57" fillId="0" borderId="108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horizontal="center" vertical="center" wrapText="1"/>
    </x:xf>
    <x:xf numFmtId="3" fontId="57" fillId="0" borderId="109" xfId="0" applyNumberFormat="1" applyFont="1" applyFill="1" applyBorder="1" applyAlignment="1">
      <x:alignment horizontal="center" vertical="center" wrapText="1"/>
    </x:xf>
    <x:xf numFmtId="0" fontId="57" fillId="0" borderId="110" xfId="0" applyNumberFormat="1" applyFont="1" applyFill="1" applyBorder="1" applyAlignment="1">
      <x:alignment vertical="center" wrapText="1"/>
    </x:xf>
    <x:xf numFmtId="0" fontId="57" fillId="11" borderId="108" xfId="0" applyNumberFormat="1" applyFont="1" applyFill="1" applyBorder="1" applyAlignment="1">
      <x:alignment vertical="center" wrapText="1"/>
    </x:xf>
    <x:xf numFmtId="0" fontId="57" fillId="0" borderId="111" xfId="0" applyNumberFormat="1" applyFont="1" applyFill="1" applyBorder="1" applyAlignment="1">
      <x:alignment vertical="center" wrapText="1"/>
    </x:xf>
    <x:xf numFmtId="0" fontId="57" fillId="11" borderId="107" xfId="0" applyNumberFormat="1" applyFont="1" applyFill="1" applyBorder="1" applyAlignment="1">
      <x:alignment vertical="center" wrapText="1"/>
    </x:xf>
    <x:xf numFmtId="0" fontId="57" fillId="0" borderId="112" xfId="0" applyNumberFormat="1" applyFont="1" applyFill="1" applyBorder="1" applyAlignment="1">
      <x:alignment vertical="center"/>
    </x:xf>
    <x:xf numFmtId="3" fontId="57" fillId="0" borderId="106" xfId="0" applyNumberFormat="1" applyFont="1" applyFill="1" applyBorder="1" applyAlignment="1">
      <x:alignment horizontal="center" vertical="center" wrapText="1"/>
    </x:xf>
    <x:xf numFmtId="0" fontId="57" fillId="0" borderId="104" xfId="0" applyNumberFormat="1" applyFont="1" applyFill="1" applyBorder="1" applyAlignment="1">
      <x:alignment vertical="center" wrapText="1"/>
    </x:xf>
    <x:xf numFmtId="0" fontId="57" fillId="0" borderId="105" xfId="0" applyNumberFormat="1" applyFont="1" applyFill="1" applyBorder="1" applyAlignment="1">
      <x:alignment vertical="center" wrapText="1"/>
    </x:xf>
    <x:xf numFmtId="0" fontId="57" fillId="11" borderId="106" xfId="0" applyNumberFormat="1" applyFont="1" applyFill="1" applyBorder="1" applyAlignment="1">
      <x:alignment vertical="center" wrapText="1"/>
    </x:xf>
    <x:xf numFmtId="0" fontId="57" fillId="11" borderId="105" xfId="0" applyNumberFormat="1" applyFont="1" applyFill="1" applyBorder="1" applyAlignment="1">
      <x:alignment vertical="center" wrapText="1"/>
    </x:xf>
    <x:xf numFmtId="0" fontId="57" fillId="0" borderId="112" xfId="0" applyNumberFormat="1" applyFont="1" applyFill="1" applyBorder="1" applyAlignment="1">
      <x:alignment vertical="center" wrapText="1"/>
    </x:xf>
    <x:xf numFmtId="9" fontId="57" fillId="0" borderId="106" xfId="0" applyNumberFormat="1" applyFont="1" applyFill="1" applyBorder="1" applyAlignment="1">
      <x:alignment horizontal="center" vertical="center" wrapText="1"/>
    </x:xf>
    <x:xf numFmtId="0" fontId="57" fillId="0" borderId="106" xfId="0" applyNumberFormat="1" applyFont="1" applyFill="1" applyBorder="1" applyAlignment="1">
      <x:alignment vertical="center" wrapText="1"/>
    </x:xf>
    <x:xf numFmtId="0" fontId="57" fillId="0" borderId="107" xfId="0" applyNumberFormat="1" applyFont="1" applyFill="1" applyBorder="1" applyAlignment="1">
      <x:alignment vertical="center"/>
    </x:xf>
    <x:xf numFmtId="0" fontId="58" fillId="0" borderId="108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vertical="center"/>
    </x:xf>
    <x:xf numFmtId="0" fontId="57" fillId="0" borderId="110" xfId="0" applyNumberFormat="1" applyFont="1" applyFill="1" applyBorder="1" applyAlignment="1">
      <x:alignment horizontal="justify" vertical="center"/>
    </x:xf>
    <x:xf numFmtId="9" fontId="57" fillId="0" borderId="110" xfId="0" applyNumberFormat="1" applyFont="1" applyFill="1" applyBorder="1" applyAlignment="1">
      <x:alignment horizontal="center" vertical="center" wrapText="1"/>
    </x:xf>
    <x:xf numFmtId="0" fontId="57" fillId="0" borderId="113" xfId="0" applyNumberFormat="1" applyFont="1" applyFill="1" applyBorder="1" applyAlignment="1">
      <x:alignment vertical="center"/>
    </x:xf>
    <x:xf numFmtId="0" fontId="57" fillId="0" borderId="110" xfId="0" applyNumberFormat="1" applyFont="1" applyFill="1" applyBorder="1" applyAlignment="1">
      <x:alignment horizontal="left" vertical="center" wrapText="1"/>
    </x:xf>
    <x:xf numFmtId="0" fontId="57" fillId="0" borderId="106" xfId="0" applyNumberFormat="1" applyFont="1" applyFill="1" applyBorder="1" applyAlignment="1">
      <x:alignment horizontal="left" vertical="center" wrapText="1"/>
    </x:xf>
    <x:xf numFmtId="0" fontId="57" fillId="0" borderId="114" xfId="0" applyNumberFormat="1" applyFont="1" applyFill="1" applyBorder="1" applyAlignment="1">
      <x:alignment horizontal="justify" vertical="center"/>
    </x:xf>
    <x:xf numFmtId="9" fontId="57" fillId="0" borderId="115" xfId="0" applyNumberFormat="1" applyFont="1" applyFill="1" applyBorder="1" applyAlignment="1">
      <x:alignment horizontal="center" vertical="center" wrapText="1"/>
    </x:xf>
    <x:xf numFmtId="0" fontId="57" fillId="0" borderId="112" xfId="0" applyNumberFormat="1" applyFont="1" applyFill="1" applyBorder="1" applyAlignment="1">
      <x:alignment horizontal="center" vertical="center" wrapText="1"/>
    </x:xf>
    <x:xf numFmtId="0" fontId="57" fillId="0" borderId="116" xfId="0" applyNumberFormat="1" applyFont="1" applyFill="1" applyBorder="1" applyAlignment="1">
      <x:alignment vertical="center" wrapText="1"/>
    </x:xf>
    <x:xf numFmtId="0" fontId="57" fillId="0" borderId="117" xfId="0" applyNumberFormat="1" applyFont="1" applyFill="1" applyBorder="1" applyAlignment="1">
      <x:alignment vertical="center" wrapText="1"/>
    </x:xf>
    <x:xf numFmtId="0" fontId="57" fillId="0" borderId="108" xfId="0" applyNumberFormat="1" applyFont="1" applyFill="1" applyBorder="1" applyAlignment="1">
      <x:alignment horizontal="justify" vertical="center"/>
    </x:xf>
    <x:xf numFmtId="0" fontId="57" fillId="0" borderId="115" xfId="0" applyNumberFormat="1" applyFont="1" applyFill="1" applyBorder="1" applyAlignment="1">
      <x:alignment vertical="center" wrapText="1"/>
    </x:xf>
    <x:xf numFmtId="0" fontId="57" fillId="0" borderId="115" xfId="0" applyNumberFormat="1" applyFont="1" applyFill="1" applyBorder="1" applyAlignment="1">
      <x:alignment horizontal="center" vertical="center" wrapText="1"/>
    </x:xf>
    <x:xf numFmtId="0" fontId="57" fillId="11" borderId="112" xfId="0" applyNumberFormat="1" applyFont="1" applyFill="1" applyBorder="1" applyAlignment="1">
      <x:alignment vertical="center" wrapText="1"/>
    </x:xf>
    <x:xf numFmtId="0" fontId="57" fillId="0" borderId="78" xfId="0" applyNumberFormat="1" applyFont="1" applyFill="1" applyBorder="1" applyAlignment="1">
      <x:alignment vertical="center" wrapText="1"/>
    </x:xf>
    <x:xf numFmtId="0" fontId="57" fillId="0" borderId="107" xfId="0" applyNumberFormat="1" applyFont="1" applyFill="1" applyBorder="1" applyAlignment="1">
      <x:alignment vertical="center" wrapText="1"/>
    </x:xf>
    <x:xf numFmtId="0" fontId="57" fillId="0" borderId="103" xfId="0" applyNumberFormat="1" applyFont="1" applyFill="1" applyBorder="1" applyAlignment="1">
      <x:alignment vertical="center" wrapText="1"/>
    </x:xf>
    <x:xf numFmtId="0" fontId="58" fillId="0" borderId="103" xfId="0" applyNumberFormat="1" applyFont="1" applyFill="1" applyBorder="1" applyAlignment="1">
      <x:alignment horizontal="center" vertical="center" wrapText="1"/>
    </x:xf>
    <x:xf numFmtId="0" fontId="58" fillId="0" borderId="105" xfId="0" applyNumberFormat="1" applyFont="1" applyFill="1" applyBorder="1" applyAlignment="1">
      <x:alignment horizontal="center" vertical="center" wrapText="1"/>
    </x:xf>
    <x:xf numFmtId="0" fontId="58" fillId="0" borderId="106" xfId="0" applyNumberFormat="1" applyFont="1" applyFill="1" applyBorder="1" applyAlignment="1">
      <x:alignment horizontal="center" vertical="center" wrapText="1"/>
    </x:xf>
    <x:xf numFmtId="0" fontId="57" fillId="0" borderId="78" xfId="0" applyNumberFormat="1" applyFont="1" applyFill="1" applyBorder="1" applyAlignment="1">
      <x:alignment horizontal="center" vertical="center" wrapText="1"/>
    </x:xf>
    <x:xf numFmtId="0" fontId="57" fillId="0" borderId="118" xfId="0" applyNumberFormat="1" applyFont="1" applyFill="1" applyBorder="1" applyAlignment="1">
      <x:alignment horizontal="center" vertical="center" wrapText="1"/>
    </x:xf>
    <x:xf numFmtId="0" fontId="57" fillId="0" borderId="116" xfId="0" applyNumberFormat="1" applyFont="1" applyFill="1" applyBorder="1" applyAlignment="1">
      <x:alignment horizontal="center" vertical="center" wrapText="1"/>
    </x:xf>
    <x:xf numFmtId="0" fontId="58" fillId="0" borderId="108" xfId="0" applyNumberFormat="1" applyFont="1" applyFill="1" applyBorder="1" applyAlignment="1">
      <x:alignment horizontal="center" vertical="center" wrapText="1"/>
    </x:xf>
    <x:xf numFmtId="0" fontId="58" fillId="0" borderId="58" xfId="0" applyNumberFormat="1" applyFont="1" applyFill="1" applyBorder="1" applyAlignment="1">
      <x:alignment horizontal="center" vertical="center" wrapText="1"/>
    </x:xf>
    <x:xf numFmtId="0" fontId="59" fillId="0" borderId="78" xfId="0" applyNumberFormat="1" applyFont="1" applyFill="1" applyBorder="1" applyAlignment="1">
      <x:alignment vertical="center" wrapText="1"/>
    </x:xf>
    <x:xf numFmtId="0" fontId="58" fillId="0" borderId="119" xfId="0" applyNumberFormat="1" applyFont="1" applyFill="1" applyBorder="1" applyAlignment="1">
      <x:alignment horizontal="center" vertical="center" wrapText="1"/>
    </x:xf>
    <x:xf numFmtId="0" fontId="58" fillId="0" borderId="120" xfId="0" applyNumberFormat="1" applyFont="1" applyFill="1" applyBorder="1" applyAlignment="1">
      <x:alignment horizontal="center" vertical="center" wrapText="1"/>
    </x:xf>
    <x:xf numFmtId="3" fontId="57" fillId="0" borderId="104" xfId="0" applyNumberFormat="1" applyFont="1" applyFill="1" applyBorder="1" applyAlignment="1">
      <x:alignment horizontal="center" vertical="center" wrapText="1"/>
    </x:xf>
    <x:xf numFmtId="0" fontId="58" fillId="0" borderId="121" xfId="0" applyNumberFormat="1" applyFont="1" applyFill="1" applyBorder="1" applyAlignment="1">
      <x:alignment vertical="center" wrapText="1"/>
    </x:xf>
    <x:xf numFmtId="0" fontId="57" fillId="0" borderId="122" xfId="0" applyNumberFormat="1" applyFont="1" applyFill="1" applyBorder="1" applyAlignment="1">
      <x:alignment vertical="center" wrapText="1"/>
    </x:xf>
    <x:xf numFmtId="0" fontId="58" fillId="0" borderId="107" xfId="0" applyNumberFormat="1" applyFont="1" applyFill="1" applyBorder="1" applyAlignment="1">
      <x:alignment horizontal="center" vertical="top" wrapText="1"/>
    </x:xf>
    <x:xf numFmtId="0" fontId="57" fillId="0" borderId="113" xfId="0" applyNumberFormat="1" applyFont="1" applyFill="1" applyBorder="1" applyAlignment="1">
      <x:alignment horizontal="left" vertical="center" wrapText="1"/>
    </x:xf>
    <x:xf numFmtId="0" fontId="57" fillId="0" borderId="123" xfId="0" applyNumberFormat="1" applyFont="1" applyFill="1" applyBorder="1" applyAlignment="1">
      <x:alignment horizontal="center" vertical="center" wrapText="1"/>
    </x:xf>
    <x:xf numFmtId="0" fontId="57" fillId="0" borderId="113" xfId="0" applyNumberFormat="1" applyFont="1" applyFill="1" applyBorder="1" applyAlignment="1">
      <x:alignment horizontal="center" vertical="center" wrapText="1"/>
    </x:xf>
    <x:xf numFmtId="0" fontId="57" fillId="0" borderId="124" xfId="0" applyNumberFormat="1" applyFont="1" applyFill="1" applyBorder="1" applyAlignment="1">
      <x:alignment horizontal="center" vertical="center" wrapText="1"/>
    </x:xf>
    <x:xf numFmtId="0" fontId="57" fillId="0" borderId="125" xfId="0" applyNumberFormat="1" applyFont="1" applyFill="1" applyBorder="1" applyAlignment="1">
      <x:alignment horizontal="center" vertical="center" wrapText="1"/>
    </x:xf>
    <x:xf numFmtId="0" fontId="57" fillId="0" borderId="126" xfId="0" applyNumberFormat="1" applyFont="1" applyFill="1" applyBorder="1" applyAlignment="1">
      <x:alignment horizontal="center" vertical="center" wrapText="1"/>
    </x:xf>
    <x:xf numFmtId="0" fontId="57" fillId="0" borderId="103" xfId="0" applyNumberFormat="1" applyFont="1" applyFill="1" applyBorder="1" applyAlignment="1">
      <x:alignment vertical="center"/>
    </x:xf>
    <x:xf numFmtId="0" fontId="56" fillId="0" borderId="107" xfId="0" applyNumberFormat="1" applyFont="1" applyFill="1" applyBorder="1"/>
    <x:xf numFmtId="0" fontId="56" fillId="0" borderId="107" xfId="0" applyNumberFormat="1" applyFont="1" applyFill="1" applyBorder="1" applyAlignment="1">
      <x:alignment vertical="center"/>
    </x:xf>
    <x:xf numFmtId="0" fontId="36" fillId="0" borderId="67" xfId="0" applyNumberFormat="1" applyFont="1" applyFill="1" applyBorder="1" applyAlignment="1">
      <x:alignment horizontal="center" vertical="top" wrapText="1"/>
    </x:xf>
    <x:xf numFmtId="0" fontId="36" fillId="0" borderId="81" xfId="0" applyNumberFormat="1" applyFont="1" applyFill="1" applyBorder="1" applyAlignment="1">
      <x:alignment horizontal="center" vertical="top"/>
    </x:xf>
    <x:xf numFmtId="0" fontId="36" fillId="0" borderId="93" xfId="0" applyNumberFormat="1" applyFont="1" applyFill="1" applyBorder="1" applyAlignment="1">
      <x:alignment horizontal="left" vertical="top" wrapText="1"/>
    </x:xf>
    <x:xf numFmtId="0" fontId="1" fillId="0" borderId="80" xfId="0" applyNumberFormat="1" applyFont="1" applyFill="1" applyBorder="1" applyAlignment="1">
      <x:alignment horizontal="center" vertical="top"/>
    </x:xf>
    <x:xf numFmtId="0" fontId="1" fillId="0" borderId="81" xfId="0" applyNumberFormat="1" applyFont="1" applyFill="1" applyBorder="1" applyAlignment="1">
      <x:alignment horizontal="center" vertical="top"/>
    </x:xf>
    <x:xf numFmtId="0" fontId="1" fillId="0" borderId="98" xfId="0" applyNumberFormat="1" applyFont="1" applyFill="1" applyBorder="1" applyAlignment="1">
      <x:alignment vertical="top"/>
    </x:xf>
    <x:xf numFmtId="0" fontId="1" fillId="0" borderId="80" xfId="0" applyNumberFormat="1" applyFont="1" applyFill="1" applyBorder="1" applyAlignment="1">
      <x:alignment vertical="top"/>
    </x:xf>
    <x:xf numFmtId="0" fontId="40" fillId="0" borderId="80" xfId="0" applyNumberFormat="1" applyFont="1" applyFill="1" applyBorder="1" applyAlignment="1">
      <x:alignment horizontal="center" vertical="top" wrapText="1"/>
    </x:xf>
    <x:xf numFmtId="0" fontId="1" fillId="0" borderId="80" xfId="0" applyNumberFormat="1" applyFont="1" applyFill="1" applyBorder="1"/>
    <x:xf numFmtId="0" fontId="36" fillId="0" borderId="80" xfId="0" applyNumberFormat="1" applyFont="1" applyFill="1" applyBorder="1" applyAlignment="1">
      <x:alignment horizontal="center" vertical="top"/>
    </x:xf>
    <x:xf numFmtId="0" fontId="0" fillId="0" borderId="127" xfId="0" applyNumberFormat="1" applyFont="1" applyFill="1" applyBorder="1" applyAlignment="1">
      <x:alignment vertical="center"/>
    </x:xf>
    <x:xf numFmtId="0" fontId="0" fillId="0" borderId="128" xfId="0" applyNumberFormat="1" applyFont="1" applyFill="1" applyBorder="1" applyAlignment="1">
      <x:alignment vertical="center"/>
    </x:xf>
    <x:xf numFmtId="0" fontId="0" fillId="0" borderId="129" xfId="0" applyNumberFormat="1" applyFont="1" applyFill="1" applyBorder="1" applyAlignment="1">
      <x:alignment vertical="center"/>
    </x:xf>
    <x:xf numFmtId="0" fontId="0" fillId="0" borderId="130" xfId="0" applyNumberFormat="1" applyFont="1" applyFill="1" applyBorder="1" applyAlignment="1">
      <x:alignment vertical="center"/>
    </x:xf>
    <x:xf numFmtId="0" fontId="0" fillId="0" borderId="131" xfId="0" applyNumberFormat="1" applyFont="1" applyFill="1" applyBorder="1" applyAlignment="1">
      <x:alignment vertical="center"/>
    </x:xf>
    <x:xf numFmtId="0" fontId="0" fillId="0" borderId="132" xfId="0" applyNumberFormat="1" applyFont="1" applyFill="1" applyBorder="1" applyAlignment="1">
      <x:alignment vertical="center"/>
    </x:xf>
    <x:xf numFmtId="0" fontId="26" fillId="0" borderId="129" xfId="0" applyNumberFormat="1" applyFont="1" applyFill="1" applyBorder="1" applyAlignment="1">
      <x:alignment horizontal="center" vertical="center"/>
    </x:xf>
    <x:xf numFmtId="0" fontId="26" fillId="0" borderId="127" xfId="0" applyNumberFormat="1" applyFont="1" applyFill="1" applyBorder="1" applyAlignment="1">
      <x:alignment horizontal="center" vertical="center"/>
    </x:xf>
    <x:xf numFmtId="0" fontId="26" fillId="0" borderId="130" xfId="0" applyNumberFormat="1" applyFont="1" applyFill="1" applyBorder="1" applyAlignment="1">
      <x:alignment horizontal="center" vertical="center"/>
    </x:xf>
    <x:xf numFmtId="0" fontId="26" fillId="0" borderId="133" xfId="0" applyNumberFormat="1" applyFont="1" applyFill="1" applyBorder="1" applyAlignment="1">
      <x:alignment horizontal="center" vertical="center" wrapText="1"/>
    </x:xf>
    <x:xf numFmtId="0" fontId="26" fillId="0" borderId="131" xfId="0" applyNumberFormat="1" applyFont="1" applyFill="1" applyBorder="1" applyAlignment="1">
      <x:alignment horizontal="center" vertical="center" wrapText="1"/>
    </x:xf>
    <x:xf numFmtId="0" fontId="1" fillId="0" borderId="94" xfId="0" applyNumberFormat="1" applyFont="1" applyFill="1" applyBorder="1" applyAlignment="1">
      <x:alignment horizontal="left" vertical="top" wrapText="1"/>
    </x:xf>
    <x:xf numFmtId="0" fontId="1" fillId="0" borderId="84" xfId="0" applyNumberFormat="1" applyFont="1" applyFill="1" applyBorder="1" applyAlignment="1">
      <x:alignment vertical="top"/>
    </x:xf>
    <x:xf numFmtId="0" fontId="1" fillId="0" borderId="96" xfId="0" applyNumberFormat="1" applyFont="1" applyFill="1" applyBorder="1" applyAlignment="1">
      <x:alignment horizontal="left" vertical="top" wrapText="1"/>
    </x:xf>
    <x:xf numFmtId="0" fontId="1" fillId="0" borderId="85" xfId="0" applyNumberFormat="1" applyFont="1" applyFill="1" applyBorder="1" applyAlignment="1">
      <x:alignment horizontal="center" vertical="top"/>
    </x:xf>
    <x:xf numFmtId="0" fontId="7" fillId="0" borderId="96" xfId="0" applyNumberFormat="1" applyFont="1" applyFill="1" applyBorder="1" applyAlignment="1">
      <x:alignment horizontal="left"/>
    </x:xf>
    <x:xf numFmtId="0" fontId="7" fillId="0" borderId="85" xfId="0" applyNumberFormat="1" applyFont="1" applyFill="1" applyBorder="1"/>
    <x:xf numFmtId="0" fontId="1" fillId="0" borderId="86" xfId="0" applyNumberFormat="1" applyFont="1" applyFill="1" applyBorder="1" applyAlignment="1">
      <x:alignment vertical="top"/>
    </x:xf>
    <x:xf numFmtId="0" fontId="1" fillId="0" borderId="85" xfId="0" applyNumberFormat="1" applyFont="1" applyFill="1" applyBorder="1" applyAlignment="1">
      <x:alignment horizontal="center" vertical="center"/>
    </x:xf>
    <x:xf numFmtId="0" fontId="42" fillId="0" borderId="89" xfId="0" applyNumberFormat="1" applyFont="1" applyFill="1" applyBorder="1" applyAlignment="1">
      <x:alignment vertical="center" wrapText="1"/>
    </x:xf>
    <x:xf numFmtId="0" fontId="36" fillId="0" borderId="89" xfId="0" applyNumberFormat="1" applyFont="1" applyFill="1" applyBorder="1" applyAlignment="1">
      <x:alignment vertical="top"/>
    </x:xf>
    <x:xf numFmtId="0" fontId="7" fillId="0" borderId="80" xfId="0" applyNumberFormat="1" applyFont="1" applyFill="1" applyBorder="1"/>
    <x:xf numFmtId="0" fontId="36" fillId="0" borderId="80" xfId="0" applyNumberFormat="1" applyFont="1" applyFill="1" applyBorder="1" applyAlignment="1">
      <x:alignment horizontal="center"/>
    </x:xf>
    <x:xf numFmtId="165" fontId="1" fillId="0" borderId="86" xfId="0" applyNumberFormat="1" applyFont="1" applyFill="1" applyBorder="1" applyAlignment="1">
      <x:alignment vertical="top"/>
    </x:xf>
    <x:xf numFmtId="165" fontId="1" fillId="0" borderId="94" xfId="0" applyNumberFormat="1" applyFont="1" applyFill="1" applyBorder="1" applyAlignment="1">
      <x:alignment vertical="top"/>
    </x:xf>
    <x:xf numFmtId="0" fontId="1" fillId="0" borderId="86" xfId="0" applyNumberFormat="1" applyFont="1" applyFill="1" applyBorder="1" applyAlignment="1">
      <x:alignment horizontal="left" vertical="top" wrapText="1"/>
    </x:xf>
    <x:xf numFmtId="0" fontId="42" fillId="0" borderId="84" xfId="0" applyNumberFormat="1" applyFont="1" applyFill="1" applyBorder="1" applyAlignment="1">
      <x:alignment horizontal="center" vertical="top" wrapText="1"/>
    </x:xf>
    <x:xf numFmtId="0" fontId="42" fillId="0" borderId="78" xfId="0" applyNumberFormat="1" applyFont="1" applyFill="1" applyBorder="1" applyAlignment="1">
      <x:alignment vertical="top"/>
    </x:xf>
    <x:xf numFmtId="168" fontId="42" fillId="0" borderId="84" xfId="0" applyNumberFormat="1" applyFont="1" applyFill="1" applyBorder="1" applyAlignment="1">
      <x:alignment vertical="top"/>
    </x:xf>
    <x:xf numFmtId="0" fontId="42" fillId="0" borderId="88" xfId="0" applyNumberFormat="1" applyFont="1" applyFill="1" applyBorder="1" applyAlignment="1">
      <x:alignment vertical="top"/>
    </x:xf>
    <x:xf numFmtId="0" fontId="36" fillId="0" borderId="80" xfId="0" applyNumberFormat="1" applyFont="1" applyFill="1" applyBorder="1"/>
    <x:xf numFmtId="0" fontId="1" fillId="0" borderId="80" xfId="0" applyNumberFormat="1" applyFont="1" applyFill="1" applyBorder="1" applyAlignment="1">
      <x:alignment wrapText="1"/>
    </x:xf>
    <x:xf numFmtId="0" fontId="1" fillId="0" borderId="80" xfId="0" applyNumberFormat="1" applyFont="1" applyFill="1" applyBorder="1" applyAlignment="1">
      <x:alignment horizontal="left" vertical="top"/>
    </x:xf>
    <x:xf numFmtId="0" fontId="2" fillId="0" borderId="81" xfId="0" applyNumberFormat="1" applyFont="1" applyFill="1" applyBorder="1" applyAlignment="1">
      <x:alignment vertical="top" wrapText="1"/>
    </x:xf>
    <x:xf numFmtId="0" fontId="2" fillId="0" borderId="85" xfId="0" applyNumberFormat="1" applyFont="1" applyFill="1" applyBorder="1" applyAlignment="1">
      <x:alignment vertical="top" wrapText="1"/>
    </x:xf>
    <x:xf numFmtId="0" fontId="3" fillId="0" borderId="81" xfId="0" applyNumberFormat="1" applyFont="1" applyFill="1" applyBorder="1" applyAlignment="1">
      <x:alignment horizontal="left" vertical="top" wrapText="1"/>
    </x:xf>
    <x:xf numFmtId="0" fontId="2" fillId="0" borderId="81" xfId="0" applyNumberFormat="1" applyFont="1" applyFill="1" applyBorder="1" applyAlignment="1">
      <x:alignment vertical="center"/>
    </x:xf>
    <x:xf numFmtId="0" fontId="2" fillId="4" borderId="78" xfId="0" applyNumberFormat="1" applyFont="1" applyFill="1" applyBorder="1" applyAlignment="1">
      <x:alignment vertical="center"/>
    </x:xf>
    <x:xf numFmtId="0" fontId="65" fillId="12" borderId="78" xfId="0" applyNumberFormat="1" applyFont="1" applyFill="1" applyBorder="1" applyAlignment="1">
      <x:alignment horizontal="center"/>
    </x:xf>
    <x:xf numFmtId="0" fontId="66" fillId="12" borderId="78" xfId="0" applyNumberFormat="1" applyFont="1" applyFill="1" applyBorder="1" applyAlignment="1">
      <x:alignment wrapText="1"/>
    </x:xf>
    <x:xf numFmtId="0" fontId="66" fillId="12" borderId="78" xfId="0" applyNumberFormat="1" applyFont="1" applyFill="1" applyBorder="1"/>
    <x:xf numFmtId="0" fontId="66" fillId="12" borderId="78" xfId="0" applyNumberFormat="1" applyFont="1" applyFill="1" applyBorder="1" applyAlignment="1">
      <x:alignment horizontal="center"/>
    </x:xf>
    <x:xf numFmtId="0" fontId="67" fillId="12" borderId="78" xfId="0" applyNumberFormat="1" applyFont="1" applyFill="1" applyBorder="1" applyAlignment="1">
      <x:alignment horizontal="center" vertical="center" wrapText="1"/>
    </x:xf>
    <x:xf numFmtId="0" fontId="66" fillId="12" borderId="78" xfId="0" applyNumberFormat="1" applyFont="1" applyFill="1" applyBorder="1" applyAlignment="1">
      <x:alignment horizontal="center" vertical="top"/>
    </x:xf>
    <x:xf numFmtId="9" fontId="65" fillId="13" borderId="127" xfId="0" applyNumberFormat="1" applyFont="1" applyFill="1" applyBorder="1" applyAlignment="1">
      <x:alignment horizontal="center" vertical="center" wrapText="1"/>
    </x:xf>
    <x:xf numFmtId="0" fontId="66" fillId="13" borderId="78" xfId="0" applyNumberFormat="1" applyFont="1" applyFill="1" applyBorder="1" applyAlignment="1">
      <x:alignment vertical="center"/>
    </x:xf>
    <x:xf numFmtId="0" fontId="68" fillId="13" borderId="134" xfId="0" applyNumberFormat="1" applyFont="1" applyFill="1" applyBorder="1" applyAlignment="1">
      <x:alignment horizontal="center"/>
    </x:xf>
    <x:xf numFmtId="0" fontId="68" fillId="13" borderId="134" xfId="0" applyNumberFormat="1" applyFont="1" applyFill="1" applyBorder="1" applyAlignment="1">
      <x:alignment horizontal="center" wrapText="1"/>
    </x:xf>
    <x:xf numFmtId="0" fontId="67" fillId="13" borderId="134" xfId="0" applyNumberFormat="1" applyFont="1" applyFill="1" applyBorder="1" applyAlignment="1">
      <x:alignment horizontal="center" wrapText="1"/>
    </x:xf>
    <x:xf numFmtId="0" fontId="68" fillId="13" borderId="127" xfId="0" applyNumberFormat="1" applyFont="1" applyFill="1" applyBorder="1" applyAlignment="1">
      <x:alignment horizontal="center" wrapText="1"/>
    </x:xf>
    <x:xf numFmtId="0" fontId="68" fillId="13" borderId="78" xfId="0" applyNumberFormat="1" applyFont="1" applyFill="1" applyBorder="1" applyAlignment="1">
      <x:alignment horizontal="center"/>
    </x:xf>
    <x:xf numFmtId="0" fontId="66" fillId="12" borderId="134" xfId="0" applyNumberFormat="1" applyFont="1" applyFill="1" applyBorder="1" applyAlignment="1">
      <x:alignment horizontal="center" vertical="center"/>
    </x:xf>
    <x:xf numFmtId="0" fontId="66" fillId="12" borderId="134" xfId="0" applyNumberFormat="1" applyFont="1" applyFill="1" applyBorder="1" applyAlignment="1">
      <x:alignment vertical="center" wrapText="1"/>
    </x:xf>
    <x:xf numFmtId="0" fontId="67" fillId="12" borderId="127" xfId="0" applyNumberFormat="1" applyFont="1" applyFill="1" applyBorder="1" applyAlignment="1">
      <x:alignment horizontal="center" vertical="center" wrapText="1"/>
    </x:xf>
    <x:xf numFmtId="0" fontId="66" fillId="12" borderId="134" xfId="0" applyNumberFormat="1" applyFont="1" applyFill="1" applyBorder="1" applyAlignment="1">
      <x:alignment horizontal="center" vertical="center" wrapText="1"/>
    </x:xf>
    <x:xf numFmtId="0" fontId="66" fillId="12" borderId="127" xfId="0" applyNumberFormat="1" applyFont="1" applyFill="1" applyBorder="1" applyAlignment="1">
      <x:alignment horizontal="center" vertical="center"/>
    </x:xf>
    <x:xf numFmtId="0" fontId="66" fillId="12" borderId="127" xfId="0" applyNumberFormat="1" applyFont="1" applyFill="1" applyBorder="1" applyAlignment="1">
      <x:alignment horizontal="center" vertical="center" wrapText="1"/>
    </x:xf>
    <x:xf numFmtId="0" fontId="66" fillId="12" borderId="133" xfId="0" applyNumberFormat="1" applyFont="1" applyFill="1" applyBorder="1" applyAlignment="1">
      <x:alignment horizontal="right" vertical="center"/>
    </x:xf>
    <x:xf numFmtId="0" fontId="66" fillId="12" borderId="127" xfId="0" applyNumberFormat="1" applyFont="1" applyFill="1" applyBorder="1" applyAlignment="1">
      <x:alignment horizontal="right" vertical="center"/>
    </x:xf>
    <x:xf numFmtId="0" fontId="66" fillId="12" borderId="127" xfId="0" applyNumberFormat="1" applyFont="1" applyFill="1" applyBorder="1" applyAlignment="1">
      <x:alignment vertical="center" wrapText="1"/>
    </x:xf>
    <x:xf numFmtId="0" fontId="66" fillId="12" borderId="78" xfId="0" applyNumberFormat="1" applyFont="1" applyFill="1" applyBorder="1" applyAlignment="1">
      <x:alignment vertical="center"/>
    </x:xf>
    <x:xf numFmtId="0" fontId="66" fillId="12" borderId="127" xfId="0" applyNumberFormat="1" applyFont="1" applyFill="1" applyBorder="1" applyAlignment="1">
      <x:alignment vertical="center"/>
    </x:xf>
    <x:xf numFmtId="0" fontId="66" fillId="12" borderId="131" xfId="0" applyNumberFormat="1" applyFont="1" applyFill="1" applyBorder="1" applyAlignment="1">
      <x:alignment vertical="center"/>
    </x:xf>
    <x:xf numFmtId="0" fontId="66" fillId="12" borderId="131" xfId="0" applyNumberFormat="1" applyFont="1" applyFill="1" applyBorder="1" applyAlignment="1">
      <x:alignment horizontal="right" vertical="center"/>
    </x:xf>
    <x:xf numFmtId="0" fontId="67" fillId="12" borderId="127" xfId="0" applyNumberFormat="1" applyFont="1" applyFill="1" applyBorder="1" applyAlignment="1">
      <x:alignment horizontal="center" vertical="center"/>
    </x:xf>
    <x:xf numFmtId="41" fontId="69" fillId="12" borderId="127" xfId="0" applyNumberFormat="1" applyFont="1" applyFill="1" applyBorder="1" applyAlignment="1">
      <x:alignment vertical="center" wrapText="1"/>
    </x:xf>
    <x:xf numFmtId="41" fontId="70" fillId="12" borderId="127" xfId="0" applyNumberFormat="1" applyFont="1" applyFill="1" applyBorder="1" applyAlignment="1">
      <x:alignment vertical="center" wrapText="1"/>
    </x:xf>
    <x:xf numFmtId="0" fontId="66" fillId="14" borderId="127" xfId="0" applyNumberFormat="1" applyFont="1" applyFill="1" applyBorder="1" applyAlignment="1">
      <x:alignment horizontal="center" vertical="center"/>
    </x:xf>
    <x:xf numFmtId="0" fontId="66" fillId="14" borderId="127" xfId="0" applyNumberFormat="1" applyFont="1" applyFill="1" applyBorder="1" applyAlignment="1">
      <x:alignment vertical="center" wrapText="1"/>
    </x:xf>
    <x:xf numFmtId="41" fontId="69" fillId="14" borderId="127" xfId="0" applyNumberFormat="1" applyFont="1" applyFill="1" applyBorder="1" applyAlignment="1">
      <x:alignment vertical="center" wrapText="1"/>
    </x:xf>
    <x:xf numFmtId="0" fontId="67" fillId="14" borderId="127" xfId="0" applyNumberFormat="1" applyFont="1" applyFill="1" applyBorder="1" applyAlignment="1">
      <x:alignment horizontal="center" vertical="center" wrapText="1"/>
    </x:xf>
    <x:xf numFmtId="0" fontId="66" fillId="14" borderId="127" xfId="0" applyNumberFormat="1" applyFont="1" applyFill="1" applyBorder="1" applyAlignment="1">
      <x:alignment horizontal="center" vertical="center" wrapText="1"/>
    </x:xf>
    <x:xf numFmtId="0" fontId="66" fillId="14" borderId="131" xfId="0" applyNumberFormat="1" applyFont="1" applyFill="1" applyBorder="1" applyAlignment="1">
      <x:alignment horizontal="right" vertical="center"/>
    </x:xf>
    <x:xf numFmtId="0" fontId="66" fillId="14" borderId="127" xfId="0" applyNumberFormat="1" applyFont="1" applyFill="1" applyBorder="1" applyAlignment="1">
      <x:alignment horizontal="right" vertical="center"/>
    </x:xf>
    <x:xf numFmtId="0" fontId="66" fillId="14" borderId="78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vertical="center" wrapText="1"/>
    </x:xf>
    <x:xf numFmtId="0" fontId="69" fillId="12" borderId="127" xfId="0" applyNumberFormat="1" applyFont="1" applyFill="1" applyBorder="1" applyAlignment="1">
      <x:alignment vertical="center" wrapText="1"/>
    </x:xf>
    <x:xf numFmtId="0" fontId="66" fillId="3" borderId="127" xfId="0" applyNumberFormat="1" applyFont="1" applyFill="1" applyBorder="1" applyAlignment="1">
      <x:alignment horizontal="center" vertical="center"/>
    </x:xf>
    <x:xf numFmtId="0" fontId="66" fillId="3" borderId="127" xfId="0" applyNumberFormat="1" applyFont="1" applyFill="1" applyBorder="1" applyAlignment="1">
      <x:alignment vertical="center" wrapText="1"/>
    </x:xf>
    <x:xf numFmtId="41" fontId="69" fillId="3" borderId="127" xfId="0" applyNumberFormat="1" applyFont="1" applyFill="1" applyBorder="1" applyAlignment="1">
      <x:alignment vertical="center" wrapText="1"/>
    </x:xf>
    <x:xf numFmtId="0" fontId="67" fillId="3" borderId="127" xfId="0" applyNumberFormat="1" applyFont="1" applyFill="1" applyBorder="1" applyAlignment="1">
      <x:alignment horizontal="center" vertical="center" wrapText="1"/>
    </x:xf>
    <x:xf numFmtId="0" fontId="66" fillId="3" borderId="127" xfId="0" applyNumberFormat="1" applyFont="1" applyFill="1" applyBorder="1" applyAlignment="1">
      <x:alignment horizontal="center" vertical="center" wrapText="1"/>
    </x:xf>
    <x:xf numFmtId="0" fontId="66" fillId="3" borderId="131" xfId="0" applyNumberFormat="1" applyFont="1" applyFill="1" applyBorder="1" applyAlignment="1">
      <x:alignment horizontal="right" vertical="center"/>
    </x:xf>
    <x:xf numFmtId="0" fontId="66" fillId="3" borderId="127" xfId="0" applyNumberFormat="1" applyFont="1" applyFill="1" applyBorder="1" applyAlignment="1">
      <x:alignment horizontal="right" vertical="center"/>
    </x:xf>
    <x:xf numFmtId="0" fontId="66" fillId="3" borderId="78" xfId="0" applyNumberFormat="1" applyFont="1" applyFill="1" applyBorder="1" applyAlignment="1">
      <x:alignment vertical="center"/>
    </x:xf>
    <x:xf numFmtId="0" fontId="66" fillId="12" borderId="135" xfId="0" applyNumberFormat="1" applyFont="1" applyFill="1" applyBorder="1" applyAlignment="1">
      <x:alignment horizontal="center" vertical="center"/>
    </x:xf>
    <x:xf numFmtId="0" fontId="66" fillId="12" borderId="135" xfId="0" applyNumberFormat="1" applyFont="1" applyFill="1" applyBorder="1" applyAlignment="1">
      <x:alignment vertical="center" wrapText="1"/>
    </x:xf>
    <x:xf numFmtId="0" fontId="67" fillId="12" borderId="135" xfId="0" applyNumberFormat="1" applyFont="1" applyFill="1" applyBorder="1" applyAlignment="1">
      <x:alignment horizontal="center" vertical="center" wrapText="1"/>
    </x:xf>
    <x:xf numFmtId="0" fontId="66" fillId="12" borderId="135" xfId="0" applyNumberFormat="1" applyFont="1" applyFill="1" applyBorder="1" applyAlignment="1">
      <x:alignment horizontal="center" vertical="center" wrapText="1"/>
    </x:xf>
    <x:xf numFmtId="0" fontId="66" fillId="12" borderId="127" xfId="0" applyNumberFormat="1" applyFont="1" applyFill="1" applyBorder="1" applyAlignment="1">
      <x:alignment horizontal="center" vertical="top"/>
    </x:xf>
    <x:xf numFmtId="0" fontId="69" fillId="3" borderId="127" xfId="0" applyNumberFormat="1" applyFont="1" applyFill="1" applyBorder="1" applyAlignment="1">
      <x:alignment vertical="center" wrapText="1"/>
    </x:xf>
    <x:xf numFmtId="0" fontId="66" fillId="3" borderId="134" xfId="0" applyNumberFormat="1" applyFont="1" applyFill="1" applyBorder="1" applyAlignment="1">
      <x:alignment horizontal="center" vertical="center"/>
    </x:xf>
    <x:xf numFmtId="0" fontId="66" fillId="3" borderId="134" xfId="0" applyNumberFormat="1" applyFont="1" applyFill="1" applyBorder="1" applyAlignment="1">
      <x:alignment vertical="center" wrapText="1"/>
    </x:xf>
    <x:xf numFmtId="0" fontId="69" fillId="3" borderId="78" xfId="0" applyNumberFormat="1" applyFont="1" applyFill="1" applyBorder="1" applyAlignment="1">
      <x:alignment vertical="center" wrapText="1"/>
    </x:xf>
    <x:xf numFmtId="0" fontId="67" fillId="3" borderId="134" xfId="0" applyNumberFormat="1" applyFont="1" applyFill="1" applyBorder="1" applyAlignment="1">
      <x:alignment horizontal="center" vertical="center" wrapText="1"/>
    </x:xf>
    <x:xf numFmtId="0" fontId="66" fillId="3" borderId="134" xfId="0" applyNumberFormat="1" applyFont="1" applyFill="1" applyBorder="1" applyAlignment="1">
      <x:alignment horizontal="center" vertical="center" wrapText="1"/>
    </x:xf>
    <x:xf numFmtId="0" fontId="66" fillId="3" borderId="133" xfId="0" applyNumberFormat="1" applyFont="1" applyFill="1" applyBorder="1" applyAlignment="1">
      <x:alignment horizontal="right" vertical="center"/>
    </x:xf>
    <x:xf numFmtId="0" fontId="66" fillId="3" borderId="134" xfId="0" applyNumberFormat="1" applyFont="1" applyFill="1" applyBorder="1" applyAlignment="1">
      <x:alignment horizontal="right" vertical="center"/>
    </x:xf>
    <x:xf numFmtId="0" fontId="66" fillId="12" borderId="78" xfId="0" applyNumberFormat="1" applyFont="1" applyFill="1" applyBorder="1" applyAlignment="1">
      <x:alignment vertical="center" wrapText="1"/>
    </x:xf>
    <x:xf numFmtId="0" fontId="71" fillId="12" borderId="127" xfId="0" applyNumberFormat="1" applyFont="1" applyFill="1" applyBorder="1" applyAlignment="1">
      <x:alignment horizontal="center" vertical="center"/>
    </x:xf>
    <x:xf numFmtId="0" fontId="71" fillId="12" borderId="127" xfId="0" applyNumberFormat="1" applyFont="1" applyFill="1" applyBorder="1" applyAlignment="1">
      <x:alignment vertical="center" wrapText="1"/>
    </x:xf>
    <x:xf numFmtId="41" fontId="71" fillId="12" borderId="127" xfId="0" applyNumberFormat="1" applyFont="1" applyFill="1" applyBorder="1" applyAlignment="1">
      <x:alignment vertical="center" wrapText="1"/>
    </x:xf>
    <x:xf numFmtId="0" fontId="72" fillId="12" borderId="127" xfId="0" applyNumberFormat="1" applyFont="1" applyFill="1" applyBorder="1" applyAlignment="1">
      <x:alignment horizontal="center" vertical="center" wrapText="1"/>
    </x:xf>
    <x:xf numFmtId="0" fontId="71" fillId="12" borderId="127" xfId="0" applyNumberFormat="1" applyFont="1" applyFill="1" applyBorder="1" applyAlignment="1">
      <x:alignment horizontal="center" vertical="center" wrapText="1"/>
    </x:xf>
    <x:xf numFmtId="0" fontId="71" fillId="12" borderId="131" xfId="0" applyNumberFormat="1" applyFont="1" applyFill="1" applyBorder="1" applyAlignment="1">
      <x:alignment horizontal="right" vertical="center"/>
    </x:xf>
    <x:xf numFmtId="0" fontId="71" fillId="12" borderId="127" xfId="0" applyNumberFormat="1" applyFont="1" applyFill="1" applyBorder="1" applyAlignment="1">
      <x:alignment horizontal="right" vertical="center"/>
    </x:xf>
    <x:xf numFmtId="0" fontId="71" fillId="12" borderId="78" xfId="0" applyNumberFormat="1" applyFont="1" applyFill="1" applyBorder="1" applyAlignment="1">
      <x:alignment vertical="center"/>
    </x:xf>
    <x:xf numFmtId="0" fontId="66" fillId="3" borderId="127" xfId="0" applyNumberFormat="1" applyFont="1" applyFill="1" applyBorder="1" applyAlignment="1">
      <x:alignment vertical="center"/>
    </x:xf>
    <x:xf numFmtId="0" fontId="66" fillId="12" borderId="134" xfId="0" applyNumberFormat="1" applyFont="1" applyFill="1" applyBorder="1" applyAlignment="1">
      <x:alignment horizontal="center" vertical="top"/>
    </x:xf>
    <x:xf numFmtId="41" fontId="69" fillId="3" borderId="127" xfId="0" applyNumberFormat="1" applyFont="1" applyFill="1" applyBorder="1" applyAlignment="1">
      <x:alignment horizontal="left" vertical="center" wrapText="1"/>
    </x:xf>
    <x:xf numFmtId="0" fontId="66" fillId="3" borderId="131" xfId="0" applyNumberFormat="1" applyFont="1" applyFill="1" applyBorder="1" applyAlignment="1">
      <x:alignment vertical="center"/>
    </x:xf>
    <x:xf numFmtId="0" fontId="66" fillId="14" borderId="131" xfId="0" applyNumberFormat="1" applyFont="1" applyFill="1" applyBorder="1" applyAlignment="1">
      <x:alignment vertical="center"/>
    </x:xf>
    <x:xf numFmtId="0" fontId="66" fillId="14" borderId="127" xfId="0" applyNumberFormat="1" applyFont="1" applyFill="1" applyBorder="1" applyAlignment="1">
      <x:alignment vertical="center"/>
    </x:xf>
    <x:xf numFmtId="41" fontId="69" fillId="3" borderId="135" xfId="0" applyNumberFormat="1" applyFont="1" applyFill="1" applyBorder="1" applyAlignment="1">
      <x:alignment vertical="center" wrapText="1"/>
    </x:xf>
    <x:xf numFmtId="41" fontId="69" fillId="3" borderId="136" xfId="0" applyNumberFormat="1" applyFont="1" applyFill="1" applyBorder="1" applyAlignment="1">
      <x:alignment vertical="center" wrapText="1"/>
    </x:xf>
    <x:xf numFmtId="0" fontId="69" fillId="3" borderId="134" xfId="0" applyNumberFormat="1" applyFont="1" applyFill="1" applyBorder="1" applyAlignment="1">
      <x:alignment vertical="center" wrapText="1"/>
    </x:xf>
    <x:xf numFmtId="0" fontId="66" fillId="15" borderId="127" xfId="0" applyNumberFormat="1" applyFont="1" applyFill="1" applyBorder="1" applyAlignment="1">
      <x:alignment horizontal="center" vertical="center"/>
    </x:xf>
    <x:xf numFmtId="0" fontId="66" fillId="15" borderId="127" xfId="0" applyNumberFormat="1" applyFont="1" applyFill="1" applyBorder="1" applyAlignment="1">
      <x:alignment vertical="center" wrapText="1"/>
    </x:xf>
    <x:xf numFmtId="41" fontId="69" fillId="15" borderId="127" xfId="0" applyNumberFormat="1" applyFont="1" applyFill="1" applyBorder="1" applyAlignment="1">
      <x:alignment vertical="center" wrapText="1"/>
    </x:xf>
    <x:xf numFmtId="0" fontId="67" fillId="15" borderId="127" xfId="0" applyNumberFormat="1" applyFont="1" applyFill="1" applyBorder="1" applyAlignment="1">
      <x:alignment horizontal="center" vertical="center" wrapText="1"/>
    </x:xf>
    <x:xf numFmtId="0" fontId="66" fillId="15" borderId="127" xfId="0" applyNumberFormat="1" applyFont="1" applyFill="1" applyBorder="1" applyAlignment="1">
      <x:alignment horizontal="center" vertical="center" wrapText="1"/>
    </x:xf>
    <x:xf numFmtId="0" fontId="66" fillId="15" borderId="131" xfId="0" applyNumberFormat="1" applyFont="1" applyFill="1" applyBorder="1" applyAlignment="1">
      <x:alignment vertical="center"/>
    </x:xf>
    <x:xf numFmtId="0" fontId="66" fillId="15" borderId="127" xfId="0" applyNumberFormat="1" applyFont="1" applyFill="1" applyBorder="1" applyAlignment="1">
      <x:alignment vertical="center"/>
    </x:xf>
    <x:xf numFmtId="0" fontId="66" fillId="15" borderId="78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horizontal="center" vertical="center"/>
    </x:xf>
    <x:xf numFmtId="41" fontId="69" fillId="14" borderId="137" xfId="0" applyNumberFormat="1" applyFont="1" applyFill="1" applyBorder="1" applyAlignment="1">
      <x:alignment vertical="center" wrapText="1"/>
    </x:xf>
    <x:xf numFmtId="0" fontId="69" fillId="14" borderId="127" xfId="0" applyNumberFormat="1" applyFont="1" applyFill="1" applyBorder="1" applyAlignment="1">
      <x:alignment horizontal="center" vertical="center" wrapText="1"/>
    </x:xf>
    <x:xf numFmtId="0" fontId="69" fillId="14" borderId="131" xfId="0" applyNumberFormat="1" applyFont="1" applyFill="1" applyBorder="1" applyAlignment="1">
      <x:alignment vertical="center"/>
    </x:xf>
    <x:xf numFmtId="0" fontId="69" fillId="14" borderId="127" xfId="0" applyNumberFormat="1" applyFont="1" applyFill="1" applyBorder="1" applyAlignment="1">
      <x:alignment vertical="center"/>
    </x:xf>
    <x:xf numFmtId="0" fontId="69" fillId="14" borderId="78" xfId="0" applyNumberFormat="1" applyFont="1" applyFill="1" applyBorder="1" applyAlignment="1">
      <x:alignment vertical="center"/>
    </x:xf>
    <x:xf numFmtId="41" fontId="69" fillId="12" borderId="135" xfId="0" applyNumberFormat="1" applyFont="1" applyFill="1" applyBorder="1" applyAlignment="1">
      <x:alignment vertical="center" wrapText="1"/>
    </x:xf>
    <x:xf numFmtId="0" fontId="74" fillId="12" borderId="127" xfId="0" applyNumberFormat="1" applyFont="1" applyFill="1" applyBorder="1" applyAlignment="1">
      <x:alignment vertical="center" wrapText="1"/>
    </x:xf>
    <x:xf numFmtId="41" fontId="71" fillId="12" borderId="135" xfId="0" applyNumberFormat="1" applyFont="1" applyFill="1" applyBorder="1" applyAlignment="1">
      <x:alignment vertical="center" wrapText="1"/>
    </x:xf>
    <x:xf numFmtId="0" fontId="71" fillId="12" borderId="131" xfId="0" applyNumberFormat="1" applyFont="1" applyFill="1" applyBorder="1" applyAlignment="1">
      <x:alignment vertical="center"/>
    </x:xf>
    <x:xf numFmtId="0" fontId="71" fillId="12" borderId="127" xfId="0" applyNumberFormat="1" applyFont="1" applyFill="1" applyBorder="1" applyAlignment="1">
      <x:alignment vertical="center"/>
    </x:xf>
    <x:xf numFmtId="0" fontId="66" fillId="12" borderId="127" xfId="0" applyNumberFormat="1" applyFont="1" applyFill="1" applyBorder="1" applyAlignment="1">
      <x:alignment horizontal="center"/>
    </x:xf>
    <x:xf numFmtId="0" fontId="66" fillId="12" borderId="127" xfId="0" applyNumberFormat="1" applyFont="1" applyFill="1" applyBorder="1" applyAlignment="1">
      <x:alignment wrapText="1"/>
    </x:xf>
    <x:xf numFmtId="0" fontId="66" fillId="12" borderId="127" xfId="0" applyNumberFormat="1" applyFont="1" applyFill="1" applyBorder="1"/>
    <x:xf numFmtId="0" fontId="75" fillId="12" borderId="127" xfId="0" applyNumberFormat="1" applyFont="1" applyFill="1" applyBorder="1" applyAlignment="1">
      <x:alignment vertical="center" wrapText="1"/>
    </x:xf>
    <x:xf numFmtId="0" fontId="65" fillId="12" borderId="78" xfId="0" applyNumberFormat="1" applyFont="1" applyFill="1" applyBorder="1" applyAlignment="1">
      <x:alignment vertical="top" wrapText="1"/>
    </x:xf>
    <x:xf numFmtId="0" fontId="77" fillId="13" borderId="127" xfId="0" applyNumberFormat="1" applyFont="1" applyFill="1" applyBorder="1" applyAlignment="1">
      <x:alignment vertical="top"/>
    </x:xf>
    <x:xf numFmtId="0" fontId="66" fillId="16" borderId="127" xfId="0" applyNumberFormat="1" applyFont="1" applyFill="1" applyBorder="1" applyAlignment="1">
      <x:alignment vertical="top"/>
    </x:xf>
    <x:xf numFmtId="0" fontId="66" fillId="12" borderId="78" xfId="0" applyNumberFormat="1" applyFont="1" applyFill="1" applyBorder="1" applyAlignment="1">
      <x:alignment vertical="top" wrapText="1"/>
    </x:xf>
    <x:xf numFmtId="0" fontId="66" fillId="12" borderId="78" xfId="0" applyNumberFormat="1" applyFont="1" applyFill="1" applyBorder="1" applyAlignment="1">
      <x:alignment vertical="top"/>
    </x:xf>
    <x:xf numFmtId="0" fontId="77" fillId="12" borderId="127" xfId="0" applyNumberFormat="1" applyFont="1" applyFill="1" applyBorder="1" applyAlignment="1">
      <x:alignment vertical="top"/>
    </x:xf>
    <x:xf numFmtId="0" fontId="66" fillId="12" borderId="127" xfId="0" applyNumberFormat="1" applyFont="1" applyFill="1" applyBorder="1" applyAlignment="1">
      <x:alignment vertical="top"/>
    </x:xf>
    <x:xf numFmtId="0" fontId="66" fillId="3" borderId="78" xfId="0" applyNumberFormat="1" applyFont="1" applyFill="1" applyBorder="1" applyAlignment="1">
      <x:alignment horizontal="center" vertical="top"/>
    </x:xf>
    <x:xf numFmtId="0" fontId="66" fillId="3" borderId="127" xfId="0" applyNumberFormat="1" applyFont="1" applyFill="1" applyBorder="1" applyAlignment="1">
      <x:alignment horizontal="center" vertical="top"/>
    </x:xf>
    <x:xf numFmtId="0" fontId="77" fillId="3" borderId="127" xfId="0" applyNumberFormat="1" applyFont="1" applyFill="1" applyBorder="1" applyAlignment="1">
      <x:alignment vertical="top" wrapText="1"/>
    </x:xf>
    <x:xf numFmtId="0" fontId="66" fillId="3" borderId="127" xfId="0" applyNumberFormat="1" applyFont="1" applyFill="1" applyBorder="1" applyAlignment="1">
      <x:alignment vertical="top"/>
    </x:xf>
    <x:xf numFmtId="0" fontId="66" fillId="3" borderId="78" xfId="0" applyNumberFormat="1" applyFont="1" applyFill="1" applyBorder="1" applyAlignment="1">
      <x:alignment vertical="top" wrapText="1"/>
    </x:xf>
    <x:xf numFmtId="0" fontId="66" fillId="3" borderId="78" xfId="0" applyNumberFormat="1" applyFont="1" applyFill="1" applyBorder="1" applyAlignment="1">
      <x:alignment vertical="top"/>
    </x:xf>
    <x:xf numFmtId="0" fontId="77" fillId="13" borderId="134" xfId="0" applyNumberFormat="1" applyFont="1" applyFill="1" applyBorder="1" applyAlignment="1">
      <x:alignment vertical="top" wrapText="1"/>
    </x:xf>
    <x:xf numFmtId="0" fontId="66" fillId="12" borderId="134" xfId="0" applyNumberFormat="1" applyFont="1" applyFill="1" applyBorder="1" applyAlignment="1">
      <x:alignment vertical="top"/>
    </x:xf>
    <x:xf numFmtId="0" fontId="76" fillId="13" borderId="127" xfId="0" applyNumberFormat="1" applyFont="1" applyFill="1" applyBorder="1" applyAlignment="1">
      <x:alignment vertical="top" wrapText="1"/>
    </x:xf>
    <x:xf numFmtId="0" fontId="66" fillId="13" borderId="127" xfId="0" applyNumberFormat="1" applyFont="1" applyFill="1" applyBorder="1" applyAlignment="1">
      <x:alignment horizontal="center" vertical="top"/>
    </x:xf>
    <x:xf numFmtId="0" fontId="77" fillId="16" borderId="127" xfId="0" applyNumberFormat="1" applyFont="1" applyFill="1" applyBorder="1" applyAlignment="1">
      <x:alignment vertical="top"/>
    </x:xf>
    <x:xf numFmtId="0" fontId="66" fillId="12" borderId="127" xfId="0" applyNumberFormat="1" applyFont="1" applyFill="1" applyBorder="1" applyAlignment="1">
      <x:alignment vertical="top" wrapText="1"/>
    </x:xf>
    <x:xf numFmtId="0" fontId="77" fillId="12" borderId="127" xfId="0" applyNumberFormat="1" applyFont="1" applyFill="1" applyBorder="1" applyAlignment="1">
      <x:alignment horizontal="left" vertical="top" wrapText="1"/>
    </x:xf>
    <x:xf numFmtId="0" fontId="66" fillId="3" borderId="127" xfId="0" applyNumberFormat="1" applyFont="1" applyFill="1" applyBorder="1" applyAlignment="1">
      <x:alignment vertical="top" wrapText="1"/>
    </x:xf>
    <x:xf numFmtId="0" fontId="77" fillId="3" borderId="127" xfId="0" applyNumberFormat="1" applyFont="1" applyFill="1" applyBorder="1" applyAlignment="1">
      <x:alignment horizontal="left" vertical="top" wrapText="1"/>
    </x:xf>
    <x:xf numFmtId="0" fontId="78" fillId="12" borderId="78" xfId="0" applyNumberFormat="1" applyFont="1" applyFill="1" applyBorder="1" applyAlignment="1">
      <x:alignment horizontal="center" vertical="center"/>
    </x:xf>
    <x:xf numFmtId="0" fontId="69" fillId="12" borderId="78" xfId="0" applyNumberFormat="1" applyFont="1" applyFill="1" applyBorder="1" applyAlignment="1">
      <x:alignment vertical="center"/>
    </x:xf>
    <x:xf numFmtId="0" fontId="79" fillId="12" borderId="135" xfId="0" applyNumberFormat="1" applyFont="1" applyFill="1" applyBorder="1" applyAlignment="1">
      <x:alignment horizontal="center" vertical="center"/>
    </x:xf>
    <x:xf numFmtId="0" fontId="80" fillId="12" borderId="78" xfId="0" applyNumberFormat="1" applyFont="1" applyFill="1" applyBorder="1" applyAlignment="1">
      <x:alignment vertical="center"/>
    </x:xf>
    <x:xf numFmtId="0" fontId="79" fillId="12" borderId="137" xfId="0" applyNumberFormat="1" applyFont="1" applyFill="1" applyBorder="1" applyAlignment="1">
      <x:alignment horizontal="center" vertical="center"/>
    </x:xf>
    <x:xf numFmtId="0" fontId="79" fillId="12" borderId="134" xfId="0" applyNumberFormat="1" applyFont="1" applyFill="1" applyBorder="1" applyAlignment="1">
      <x:alignment horizontal="center" vertical="center"/>
    </x:xf>
    <x:xf numFmtId="0" fontId="79" fillId="12" borderId="138" xfId="0" applyNumberFormat="1" applyFont="1" applyFill="1" applyBorder="1" applyAlignment="1">
      <x:alignment vertical="center"/>
    </x:xf>
    <x:xf numFmtId="0" fontId="79" fillId="12" borderId="138" xfId="0" applyNumberFormat="1" applyFont="1" applyFill="1" applyBorder="1" applyAlignment="1">
      <x:alignment horizontal="center" vertical="center"/>
    </x:xf>
    <x:xf numFmtId="16" fontId="79" fillId="12" borderId="138" xfId="0" applyNumberFormat="1" applyFont="1" applyFill="1" applyBorder="1" applyAlignment="1">
      <x:alignment horizontal="center" vertical="center"/>
    </x:xf>
    <x:xf numFmtId="169" fontId="79" fillId="12" borderId="138" xfId="0" applyNumberFormat="1" applyFont="1" applyFill="1" applyBorder="1" applyAlignment="1">
      <x:alignment vertical="center"/>
    </x:xf>
    <x:xf numFmtId="170" fontId="79" fillId="12" borderId="138" xfId="0" applyNumberFormat="1" applyFont="1" applyFill="1" applyBorder="1" applyAlignment="1">
      <x:alignment vertical="center"/>
    </x:xf>
    <x:xf numFmtId="169" fontId="80" fillId="12" borderId="137" xfId="0" applyNumberFormat="1" applyFont="1" applyFill="1" applyBorder="1" applyAlignment="1">
      <x:alignment vertical="center"/>
    </x:xf>
    <x:xf numFmtId="171" fontId="80" fillId="12" borderId="137" xfId="0" applyNumberFormat="1" applyFont="1" applyFill="1" applyBorder="1" applyAlignment="1">
      <x:alignment vertical="center"/>
    </x:xf>
    <x:xf numFmtId="0" fontId="80" fillId="12" borderId="135" xfId="0" applyNumberFormat="1" applyFont="1" applyFill="1" applyBorder="1" applyAlignment="1">
      <x:alignment vertical="center"/>
    </x:xf>
    <x:xf numFmtId="0" fontId="79" fillId="12" borderId="139" xfId="0" applyNumberFormat="1" applyFont="1" applyFill="1" applyBorder="1"/>
    <x:xf numFmtId="169" fontId="79" fillId="12" borderId="139" xfId="0" applyNumberFormat="1" applyFont="1" applyFill="1" applyBorder="1" applyAlignment="1">
      <x:alignment vertical="center"/>
    </x:xf>
    <x:xf numFmtId="170" fontId="79" fillId="12" borderId="139" xfId="0" applyNumberFormat="1" applyFont="1" applyFill="1" applyBorder="1" applyAlignment="1">
      <x:alignment vertical="center"/>
    </x:xf>
    <x:xf numFmtId="0" fontId="79" fillId="12" borderId="139" xfId="0" applyNumberFormat="1" applyFont="1" applyFill="1" applyBorder="1" applyAlignment="1">
      <x:alignment vertical="center"/>
    </x:xf>
    <x:xf numFmtId="0" fontId="81" fillId="12" borderId="139" xfId="0" applyNumberFormat="1" applyFont="1" applyFill="1" applyBorder="1" applyAlignment="1">
      <x:alignment horizontal="center" vertical="center"/>
    </x:xf>
    <x:xf numFmtId="0" fontId="83" fillId="12" borderId="134" xfId="0" applyNumberFormat="1" applyFont="1" applyFill="1" applyBorder="1" applyAlignment="1">
      <x:alignment horizontal="right"/>
    </x:xf>
    <x:xf numFmtId="0" fontId="83" fillId="12" borderId="140" xfId="0" applyNumberFormat="1" applyFont="1" applyFill="1" applyBorder="1" applyAlignment="1">
      <x:alignment horizontal="left" vertical="top" wrapText="1"/>
    </x:xf>
    <x:xf numFmtId="169" fontId="80" fillId="12" borderId="134" xfId="0" applyNumberFormat="1" applyFont="1" applyFill="1" applyBorder="1" applyAlignment="1">
      <x:alignment vertical="center"/>
    </x:xf>
    <x:xf numFmtId="171" fontId="80" fillId="12" borderId="134" xfId="0" applyNumberFormat="1" applyFont="1" applyFill="1" applyBorder="1" applyAlignment="1">
      <x:alignment vertical="center"/>
    </x:xf>
    <x:xf numFmtId="0" fontId="80" fillId="12" borderId="127" xfId="0" applyNumberFormat="1" applyFont="1" applyFill="1" applyBorder="1" applyAlignment="1">
      <x:alignment vertical="center"/>
    </x:xf>
    <x:xf numFmtId="0" fontId="83" fillId="12" borderId="127" xfId="0" applyNumberFormat="1" applyFont="1" applyFill="1" applyBorder="1" applyAlignment="1">
      <x:alignment horizontal="right"/>
    </x:xf>
    <x:xf numFmtId="0" fontId="83" fillId="12" borderId="128" xfId="0" applyNumberFormat="1" applyFont="1" applyFill="1" applyBorder="1" applyAlignment="1">
      <x:alignment horizontal="left" vertical="top" wrapText="1"/>
    </x:xf>
    <x:xf numFmtId="172" fontId="80" fillId="12" borderId="127" xfId="0" applyNumberFormat="1" applyFont="1" applyFill="1" applyBorder="1" applyAlignment="1">
      <x:alignment vertical="center"/>
    </x:xf>
    <x:xf numFmtId="169" fontId="80" fillId="12" borderId="127" xfId="0" applyNumberFormat="1" applyFont="1" applyFill="1" applyBorder="1" applyAlignment="1">
      <x:alignment vertical="center"/>
    </x:xf>
    <x:xf numFmtId="171" fontId="80" fillId="12" borderId="127" xfId="0" applyNumberFormat="1" applyFont="1" applyFill="1" applyBorder="1" applyAlignment="1">
      <x:alignment vertical="center"/>
    </x:xf>
    <x:xf numFmtId="0" fontId="83" fillId="12" borderId="128" xfId="0" applyNumberFormat="1" applyFont="1" applyFill="1" applyBorder="1" applyAlignment="1">
      <x:alignment horizontal="left" vertical="top"/>
    </x:xf>
    <x:xf numFmtId="0" fontId="84" fillId="12" borderId="141" xfId="0" applyNumberFormat="1" applyFont="1" applyFill="1" applyBorder="1" applyAlignment="1">
      <x:alignment horizontal="justify" vertical="center"/>
    </x:xf>
    <x:xf numFmtId="169" fontId="80" fillId="12" borderId="135" xfId="0" applyNumberFormat="1" applyFont="1" applyFill="1" applyBorder="1" applyAlignment="1">
      <x:alignment vertical="center"/>
    </x:xf>
    <x:xf numFmtId="171" fontId="80" fillId="12" borderId="135" xfId="0" applyNumberFormat="1" applyFont="1" applyFill="1" applyBorder="1" applyAlignment="1">
      <x:alignment vertical="center"/>
    </x:xf>
    <x:xf numFmtId="0" fontId="83" fillId="12" borderId="135" xfId="0" applyNumberFormat="1" applyFont="1" applyFill="1" applyBorder="1" applyAlignment="1">
      <x:alignment horizontal="left"/>
    </x:xf>
    <x:xf numFmtId="0" fontId="83" fillId="12" borderId="135" xfId="0" applyNumberFormat="1" applyFont="1" applyFill="1" applyBorder="1" applyAlignment="1">
      <x:alignment horizontal="center"/>
    </x:xf>
    <x:xf numFmtId="0" fontId="83" fillId="12" borderId="140" xfId="0" applyNumberFormat="1" applyFont="1" applyFill="1" applyBorder="1" applyAlignment="1">
      <x:alignment horizontal="left" vertical="top"/>
    </x:xf>
    <x:xf numFmtId="0" fontId="80" fillId="12" borderId="134" xfId="0" applyNumberFormat="1" applyFont="1" applyFill="1" applyBorder="1" applyAlignment="1">
      <x:alignment vertical="center"/>
    </x:xf>
    <x:xf numFmtId="0" fontId="81" fillId="12" borderId="139" xfId="0" applyNumberFormat="1" applyFont="1" applyFill="1" applyBorder="1" applyAlignment="1">
      <x:alignment wrapText="1"/>
    </x:xf>
    <x:xf numFmtId="171" fontId="79" fillId="12" borderId="139" xfId="0" applyNumberFormat="1" applyFont="1" applyFill="1" applyBorder="1" applyAlignment="1">
      <x:alignment vertical="center"/>
    </x:xf>
    <x:xf numFmtId="0" fontId="84" fillId="12" borderId="142" xfId="0" applyNumberFormat="1" applyFont="1" applyFill="1" applyBorder="1" applyAlignment="1">
      <x:alignment horizontal="justify" vertical="center"/>
    </x:xf>
    <x:xf numFmtId="169" fontId="70" fillId="12" borderId="134" xfId="0" applyNumberFormat="1" applyFont="1" applyFill="1" applyBorder="1" applyAlignment="1">
      <x:alignment vertical="center"/>
    </x:xf>
    <x:xf numFmtId="172" fontId="69" fillId="12" borderId="134" xfId="0" applyNumberFormat="1" applyFont="1" applyFill="1" applyBorder="1" applyAlignment="1">
      <x:alignment vertical="center"/>
    </x:xf>
    <x:xf numFmtId="0" fontId="69" fillId="12" borderId="134" xfId="0" applyNumberFormat="1" applyFont="1" applyFill="1" applyBorder="1" applyAlignment="1">
      <x:alignment vertical="center"/>
    </x:xf>
    <x:xf numFmtId="0" fontId="80" fillId="12" borderId="78" xfId="0" applyNumberFormat="1" applyFont="1" applyFill="1" applyBorder="1" applyAlignment="1">
      <x:alignment horizontal="center" vertical="center"/>
    </x:xf>
    <x:xf numFmtId="172" fontId="80" fillId="12" borderId="78" xfId="0" applyNumberFormat="1" applyFont="1" applyFill="1" applyBorder="1" applyAlignment="1">
      <x:alignment vertical="center"/>
    </x:xf>
    <x:xf numFmtId="172" fontId="85" fillId="12" borderId="78" xfId="0" applyNumberFormat="1" applyFont="1" applyFill="1" applyBorder="1" applyAlignment="1">
      <x:alignment vertical="center"/>
    </x:xf>
    <x:xf numFmtId="169" fontId="80" fillId="12" borderId="78" xfId="0" applyNumberFormat="1" applyFont="1" applyFill="1" applyBorder="1" applyAlignment="1">
      <x:alignment vertical="center"/>
    </x:xf>
    <x:xf numFmtId="0" fontId="79" fillId="12" borderId="78" xfId="0" applyNumberFormat="1" applyFont="1" applyFill="1" applyBorder="1" applyAlignment="1">
      <x:alignment horizontal="center" vertical="center"/>
    </x:xf>
    <x:xf numFmtId="0" fontId="79" fillId="12" borderId="78" xfId="0" applyNumberFormat="1" applyFont="1" applyFill="1" applyBorder="1" applyAlignment="1">
      <x:alignment vertical="center"/>
    </x:xf>
    <x:xf numFmtId="169" fontId="81" fillId="12" borderId="139" xfId="0" applyNumberFormat="1" applyFont="1" applyFill="1" applyBorder="1" applyAlignment="1">
      <x:alignment horizontal="center" vertical="center" wrapText="1"/>
    </x:xf>
    <x:xf numFmtId="3" fontId="79" fillId="12" borderId="138" xfId="0" applyNumberFormat="1" applyFont="1" applyFill="1" applyBorder="1" applyAlignment="1">
      <x:alignment vertical="center"/>
    </x:xf>
    <x:xf numFmtId="3" fontId="79" fillId="12" borderId="139" xfId="0" applyNumberFormat="1" applyFont="1" applyFill="1" applyBorder="1" applyAlignment="1">
      <x:alignment vertical="center"/>
    </x:xf>
    <x:xf numFmtId="3" fontId="80" fillId="12" borderId="134" xfId="0" applyNumberFormat="1" applyFont="1" applyFill="1" applyBorder="1" applyAlignment="1">
      <x:alignment vertical="center"/>
    </x:xf>
    <x:xf numFmtId="3" fontId="80" fillId="12" borderId="127" xfId="0" applyNumberFormat="1" applyFont="1" applyFill="1" applyBorder="1" applyAlignment="1">
      <x:alignment vertical="center"/>
    </x:xf>
    <x:xf numFmtId="3" fontId="80" fillId="12" borderId="135" xfId="0" applyNumberFormat="1" applyFont="1" applyFill="1" applyBorder="1" applyAlignment="1">
      <x:alignment vertical="center"/>
    </x:xf>
    <x:xf numFmtId="3" fontId="70" fillId="12" borderId="134" xfId="0" applyNumberFormat="1" applyFont="1" applyFill="1" applyBorder="1" applyAlignment="1">
      <x:alignment vertical="center"/>
    </x:xf>
    <x:xf numFmtId="3" fontId="80" fillId="12" borderId="137" xfId="0" applyNumberFormat="1" applyFont="1" applyFill="1" applyBorder="1" applyAlignment="1">
      <x:alignment vertical="center"/>
    </x:xf>
    <x:xf numFmtId="0" fontId="61" fillId="0" borderId="78" xfId="0" applyNumberFormat="1" applyFont="1" applyFill="1" applyBorder="1" applyAlignment="1">
      <x:alignment horizontal="center" vertical="center"/>
    </x:xf>
    <x:xf numFmtId="0" fontId="26" fillId="0" borderId="132" xfId="0" applyNumberFormat="1" applyFont="1" applyFill="1" applyBorder="1" applyAlignment="1">
      <x:alignment horizontal="center" vertical="center"/>
    </x:xf>
    <x:xf numFmtId="0" fontId="26" fillId="0" borderId="132" xfId="0" applyNumberFormat="1" applyFont="1" applyFill="1" applyBorder="1" applyAlignment="1">
      <x:alignment horizontal="center" vertical="center" wrapText="1"/>
    </x:xf>
    <x:xf numFmtId="0" fontId="26" fillId="0" borderId="143" xfId="0" applyNumberFormat="1" applyFont="1" applyFill="1" applyBorder="1" applyAlignment="1">
      <x:alignment horizontal="center" vertical="center" wrapText="1"/>
    </x:xf>
    <x:xf numFmtId="0" fontId="26" fillId="0" borderId="144" xfId="0" applyNumberFormat="1" applyFont="1" applyFill="1" applyBorder="1" applyAlignment="1">
      <x:alignment horizontal="center" vertical="center" wrapText="1"/>
    </x:xf>
    <x:xf numFmtId="0" fontId="26" fillId="0" borderId="145" xfId="0" applyNumberFormat="1" applyFont="1" applyFill="1" applyBorder="1" applyAlignment="1">
      <x:alignment horizontal="center" vertical="center" wrapText="1"/>
    </x:xf>
    <x:xf numFmtId="0" fontId="26" fillId="0" borderId="140" xfId="0" applyNumberFormat="1" applyFont="1" applyFill="1" applyBorder="1" applyAlignment="1">
      <x:alignment horizontal="center" vertical="center" wrapText="1"/>
    </x:xf>
    <x:xf numFmtId="0" fontId="58" fillId="0" borderId="146" xfId="0" applyNumberFormat="1" applyFont="1" applyFill="1" applyBorder="1" applyAlignment="1">
      <x:alignment horizontal="center" vertical="center" wrapText="1"/>
    </x:xf>
    <x:xf numFmtId="0" fontId="58" fillId="0" borderId="147" xfId="0" applyNumberFormat="1" applyFont="1" applyFill="1" applyBorder="1" applyAlignment="1">
      <x:alignment horizontal="center" vertical="center" wrapText="1"/>
    </x:xf>
    <x:xf numFmtId="0" fontId="58" fillId="0" borderId="148" xfId="0" applyNumberFormat="1" applyFont="1" applyFill="1" applyBorder="1" applyAlignment="1">
      <x:alignment horizontal="center" vertical="center" wrapText="1"/>
    </x:xf>
    <x:xf numFmtId="0" fontId="58" fillId="0" borderId="149" xfId="0" applyNumberFormat="1" applyFont="1" applyFill="1" applyBorder="1" applyAlignment="1">
      <x:alignment horizontal="center" vertical="center" wrapText="1"/>
    </x:xf>
    <x:xf numFmtId="0" fontId="58" fillId="0" borderId="125" xfId="0" applyNumberFormat="1" applyFont="1" applyFill="1" applyBorder="1" applyAlignment="1">
      <x:alignment horizontal="center" vertical="center" wrapText="1"/>
    </x:xf>
    <x:xf numFmtId="0" fontId="58" fillId="0" borderId="124" xfId="0" applyNumberFormat="1" applyFont="1" applyFill="1" applyBorder="1" applyAlignment="1">
      <x:alignment horizontal="center" vertical="center" wrapText="1"/>
    </x:xf>
    <x:xf numFmtId="0" fontId="57" fillId="0" borderId="150" xfId="0" applyNumberFormat="1" applyFont="1" applyFill="1" applyBorder="1" applyAlignment="1">
      <x:alignment horizontal="center" vertical="center" wrapText="1"/>
    </x:xf>
    <x:xf numFmtId="0" fontId="57" fillId="0" borderId="146" xfId="0" applyNumberFormat="1" applyFont="1" applyFill="1" applyBorder="1" applyAlignment="1">
      <x:alignment horizontal="center" vertical="center" wrapText="1"/>
    </x:xf>
    <x:xf numFmtId="0" fontId="57" fillId="0" borderId="150" xfId="0" applyNumberFormat="1" applyFont="1" applyFill="1" applyBorder="1" applyAlignment="1">
      <x:alignment vertical="center" wrapText="1"/>
    </x:xf>
    <x:xf numFmtId="0" fontId="57" fillId="0" borderId="146" xfId="0" applyNumberFormat="1" applyFont="1" applyFill="1" applyBorder="1" applyAlignment="1">
      <x:alignment vertical="center" wrapText="1"/>
    </x:xf>
    <x:xf numFmtId="0" fontId="57" fillId="0" borderId="114" xfId="0" applyNumberFormat="1" applyFont="1" applyFill="1" applyBorder="1" applyAlignment="1">
      <x:alignment vertical="center" wrapText="1"/>
    </x:xf>
    <x:xf numFmtId="0" fontId="57" fillId="0" borderId="114" xfId="0" applyNumberFormat="1" applyFont="1" applyFill="1" applyBorder="1" applyAlignment="1">
      <x:alignment horizontal="center" vertical="center" wrapText="1"/>
    </x:xf>
    <x:xf numFmtId="0" fontId="57" fillId="0" borderId="103" xfId="0" applyNumberFormat="1" applyFont="1" applyFill="1" applyBorder="1" applyAlignment="1">
      <x:alignment horizontal="justify" vertical="center"/>
    </x:xf>
    <x:xf numFmtId="0" fontId="57" fillId="0" borderId="151" xfId="0" applyNumberFormat="1" applyFont="1" applyFill="1" applyBorder="1" applyAlignment="1">
      <x:alignment horizontal="justify" vertical="center"/>
    </x:xf>
    <x:xf numFmtId="0" fontId="57" fillId="0" borderId="151" xfId="0" applyNumberFormat="1" applyFont="1" applyFill="1" applyBorder="1" applyAlignment="1">
      <x:alignment horizontal="center" vertical="center" wrapText="1"/>
    </x:xf>
    <x:xf numFmtId="0" fontId="57" fillId="11" borderId="103" xfId="0" applyNumberFormat="1" applyFont="1" applyFill="1" applyBorder="1" applyAlignment="1">
      <x:alignment vertical="center" wrapText="1"/>
    </x:xf>
    <x:xf numFmtId="0" fontId="55" fillId="0" borderId="78" xfId="0" applyNumberFormat="1" applyFont="1" applyFill="1" applyBorder="1" applyAlignment="1">
      <x:alignment horizontal="center"/>
    </x:xf>
    <x:xf numFmtId="0" fontId="57" fillId="0" borderId="107" xfId="0" applyNumberFormat="1" applyFont="1" applyFill="1" applyBorder="1" applyAlignment="1">
      <x:alignment horizontal="justify" vertical="center"/>
    </x:xf>
    <x:xf numFmtId="0" fontId="17" fillId="4" borderId="79" xfId="0" applyNumberFormat="1" applyFont="1" applyFill="1" applyBorder="1" applyAlignment="1">
      <x:alignment horizontal="center" vertical="center"/>
    </x:xf>
    <x:xf numFmtId="0" fontId="17" fillId="4" borderId="84" xfId="0" applyNumberFormat="1" applyFont="1" applyFill="1" applyBorder="1" applyAlignment="1">
      <x:alignment horizontal="center" vertical="center"/>
    </x:xf>
    <x:xf numFmtId="0" fontId="26" fillId="4" borderId="86" xfId="0" applyNumberFormat="1" applyFont="1" applyFill="1" applyBorder="1" applyAlignment="1">
      <x:alignment horizontal="center" vertical="center"/>
    </x:xf>
    <x:xf numFmtId="0" fontId="26" fillId="4" borderId="87" xfId="0" applyNumberFormat="1" applyFont="1" applyFill="1" applyBorder="1" applyAlignment="1">
      <x:alignment horizontal="center" vertical="center"/>
    </x:xf>
    <x:xf numFmtId="0" fontId="26" fillId="4" borderId="94" xfId="0" applyNumberFormat="1" applyFont="1" applyFill="1" applyBorder="1" applyAlignment="1">
      <x:alignment horizontal="center" vertical="center"/>
    </x:xf>
    <x:xf numFmtId="0" fontId="0" fillId="0" borderId="79" xfId="0" applyNumberFormat="1" applyFont="1" applyFill="1" applyBorder="1" applyAlignment="1">
      <x:alignment horizontal="center" vertical="top"/>
    </x:xf>
    <x:xf numFmtId="0" fontId="7" fillId="0" borderId="84" xfId="0" applyNumberFormat="1" applyFont="1" applyFill="1" applyBorder="1" applyAlignment="1">
      <x:alignment vertical="top"/>
    </x:xf>
    <x:xf numFmtId="0" fontId="7" fillId="0" borderId="89" xfId="0" applyNumberFormat="1" applyFont="1" applyFill="1" applyBorder="1" applyAlignment="1">
      <x:alignment vertical="top"/>
    </x:xf>
    <x:xf numFmtId="0" fontId="8" fillId="0" borderId="79" xfId="0" applyNumberFormat="1" applyFont="1" applyFill="1" applyBorder="1" applyAlignment="1">
      <x:alignment vertical="top" wrapText="1"/>
    </x:xf>
    <x:xf numFmtId="0" fontId="5" fillId="4" borderId="88" xfId="0" applyNumberFormat="1" applyFont="1" applyFill="1" applyBorder="1" applyAlignment="1">
      <x:alignment horizontal="center" vertical="center"/>
    </x:xf>
    <x:xf numFmtId="0" fontId="5" fillId="4" borderId="96" xfId="0" applyNumberFormat="1" applyFont="1" applyFill="1" applyBorder="1" applyAlignment="1">
      <x:alignment horizontal="center" vertical="center"/>
    </x:xf>
    <x:xf numFmtId="0" fontId="17" fillId="4" borderId="79" xfId="0" applyNumberFormat="1" applyFont="1" applyFill="1" applyBorder="1" applyAlignment="1">
      <x:alignment horizontal="center" vertical="center" wrapText="1"/>
    </x:xf>
    <x:xf numFmtId="0" fontId="17" fillId="4" borderId="84" xfId="0" applyNumberFormat="1" applyFont="1" applyFill="1" applyBorder="1" applyAlignment="1">
      <x:alignment horizontal="center" vertical="center" wrapText="1"/>
    </x:xf>
    <x:xf numFmtId="0" fontId="26" fillId="4" borderId="81" xfId="0" applyNumberFormat="1" applyFont="1" applyFill="1" applyBorder="1" applyAlignment="1">
      <x:alignment horizontal="center" vertical="center"/>
    </x:xf>
    <x:xf numFmtId="0" fontId="26" fillId="4" borderId="91" xfId="0" applyNumberFormat="1" applyFont="1" applyFill="1" applyBorder="1" applyAlignment="1">
      <x:alignment horizontal="center" vertical="center"/>
    </x:xf>
    <x:xf numFmtId="0" fontId="26" fillId="4" borderId="93" xfId="0" applyNumberFormat="1" applyFont="1" applyFill="1" applyBorder="1" applyAlignment="1">
      <x:alignment horizontal="center" vertical="center"/>
    </x:xf>
    <x:xf numFmtId="0" fontId="1" fillId="4" borderId="79" xfId="0" applyNumberFormat="1" applyFont="1" applyFill="1" applyBorder="1" applyAlignment="1">
      <x:alignment horizontal="center" vertical="center" wrapText="1"/>
    </x:xf>
    <x:xf numFmtId="0" fontId="1" fillId="4" borderId="84" xfId="0" applyNumberFormat="1" applyFont="1" applyFill="1" applyBorder="1" applyAlignment="1">
      <x:alignment horizontal="center" vertical="center" wrapText="1"/>
    </x:xf>
    <x:xf numFmtId="0" fontId="5" fillId="4" borderId="81" xfId="0" applyNumberFormat="1" applyFont="1" applyFill="1" applyBorder="1" applyAlignment="1">
      <x:alignment horizontal="center" vertical="center" wrapText="1"/>
    </x:xf>
    <x:xf numFmtId="0" fontId="5" fillId="4" borderId="93" xfId="0" applyNumberFormat="1" applyFont="1" applyFill="1" applyBorder="1" applyAlignment="1">
      <x:alignment horizontal="center" vertical="center" wrapText="1"/>
    </x:xf>
    <x:xf numFmtId="0" fontId="39" fillId="0" borderId="79" xfId="0" applyNumberFormat="1" applyFont="1" applyFill="1" applyBorder="1" applyAlignment="1">
      <x:alignment horizontal="left" vertical="top" wrapText="1"/>
    </x:xf>
    <x:xf numFmtId="0" fontId="39" fillId="0" borderId="89" xfId="0" applyNumberFormat="1" applyFont="1" applyFill="1" applyBorder="1" applyAlignment="1">
      <x:alignment horizontal="left" vertical="top" wrapText="1"/>
    </x:xf>
    <x:xf numFmtId="0" fontId="39" fillId="0" borderId="84" xfId="0" applyNumberFormat="1" applyFont="1" applyFill="1" applyBorder="1" applyAlignment="1">
      <x:alignment horizontal="left" vertical="top" wrapText="1"/>
    </x:xf>
    <x:xf numFmtId="0" fontId="1" fillId="0" borderId="81" xfId="0" applyNumberFormat="1" applyFont="1" applyFill="1" applyBorder="1" applyAlignment="1">
      <x:alignment horizontal="center" vertical="center"/>
    </x:xf>
    <x:xf numFmtId="0" fontId="1" fillId="0" borderId="91" xfId="0" applyNumberFormat="1" applyFont="1" applyFill="1" applyBorder="1" applyAlignment="1">
      <x:alignment horizontal="center" vertical="center"/>
    </x:xf>
    <x:xf numFmtId="0" fontId="1" fillId="0" borderId="93" xfId="0" applyNumberFormat="1" applyFont="1" applyFill="1" applyBorder="1" applyAlignment="1">
      <x:alignment horizontal="center" vertical="center"/>
    </x:xf>
    <x:xf numFmtId="0" fontId="35" fillId="0" borderId="79" xfId="0" applyNumberFormat="1" applyFont="1" applyFill="1" applyBorder="1" applyAlignment="1">
      <x:alignment horizontal="center" vertical="center" wrapText="1"/>
    </x:xf>
    <x:xf numFmtId="0" fontId="35" fillId="0" borderId="89" xfId="0" applyNumberFormat="1" applyFont="1" applyFill="1" applyBorder="1" applyAlignment="1">
      <x:alignment horizontal="center" vertical="center" wrapText="1"/>
    </x:xf>
    <x:xf numFmtId="0" fontId="35" fillId="0" borderId="84" xfId="0" applyNumberFormat="1" applyFont="1" applyFill="1" applyBorder="1" applyAlignment="1">
      <x:alignment horizontal="center" vertical="center" wrapText="1"/>
    </x:xf>
    <x:xf numFmtId="0" fontId="1" fillId="0" borderId="79" xfId="0" applyNumberFormat="1" applyFont="1" applyFill="1" applyBorder="1" applyAlignment="1">
      <x:alignment horizontal="center" vertical="center" wrapText="1"/>
    </x:xf>
    <x:xf numFmtId="0" fontId="1" fillId="0" borderId="89" xfId="0" applyNumberFormat="1" applyFont="1" applyFill="1" applyBorder="1" applyAlignment="1">
      <x:alignment horizontal="center" vertical="center" wrapText="1"/>
    </x:xf>
    <x:xf numFmtId="0" fontId="1" fillId="0" borderId="84" xfId="0" applyNumberFormat="1" applyFont="1" applyFill="1" applyBorder="1" applyAlignment="1">
      <x:alignment horizontal="center" vertical="center" wrapText="1"/>
    </x:xf>
    <x:xf numFmtId="0" fontId="36" fillId="0" borderId="79" xfId="0" applyNumberFormat="1" applyFont="1" applyFill="1" applyBorder="1" applyAlignment="1">
      <x:alignment horizontal="center" vertical="center" wrapText="1"/>
    </x:xf>
    <x:xf numFmtId="0" fontId="36" fillId="0" borderId="89" xfId="0" applyNumberFormat="1" applyFont="1" applyFill="1" applyBorder="1" applyAlignment="1">
      <x:alignment horizontal="center" vertical="center" wrapText="1"/>
    </x:xf>
    <x:xf numFmtId="0" fontId="36" fillId="0" borderId="84" xfId="0" applyNumberFormat="1" applyFont="1" applyFill="1" applyBorder="1" applyAlignment="1">
      <x:alignment horizontal="center" vertical="center" wrapText="1"/>
    </x:xf>
    <x:xf numFmtId="0" fontId="1" fillId="0" borderId="86" xfId="0" applyNumberFormat="1" applyFont="1" applyFill="1" applyBorder="1" applyAlignment="1">
      <x:alignment horizontal="center" vertical="center" wrapText="1"/>
    </x:xf>
    <x:xf numFmtId="0" fontId="1" fillId="0" borderId="94" xfId="0" applyNumberFormat="1" applyFont="1" applyFill="1" applyBorder="1" applyAlignment="1">
      <x:alignment horizontal="center" vertical="center" wrapText="1"/>
    </x:xf>
    <x:xf numFmtId="0" fontId="1" fillId="0" borderId="85" xfId="0" applyNumberFormat="1" applyFont="1" applyFill="1" applyBorder="1" applyAlignment="1">
      <x:alignment horizontal="center" vertical="center" wrapText="1"/>
    </x:xf>
    <x:xf numFmtId="0" fontId="1" fillId="0" borderId="96" xfId="0" applyNumberFormat="1" applyFont="1" applyFill="1" applyBorder="1" applyAlignment="1">
      <x:alignment horizontal="center" vertical="center" wrapText="1"/>
    </x:xf>
    <x:xf numFmtId="0" fontId="1" fillId="0" borderId="91" xfId="0" applyNumberFormat="1" applyFont="1" applyFill="1" applyBorder="1" applyAlignment="1">
      <x:alignment horizontal="center" vertical="center" wrapText="1"/>
    </x:xf>
    <x:xf numFmtId="0" fontId="1" fillId="0" borderId="152" xfId="0" applyNumberFormat="1" applyFont="1" applyFill="1" applyBorder="1" applyAlignment="1">
      <x:alignment horizontal="center" vertical="center" wrapText="1"/>
    </x:xf>
    <x:xf numFmtId="0" fontId="1" fillId="0" borderId="93" xfId="0" applyNumberFormat="1" applyFont="1" applyFill="1" applyBorder="1" applyAlignment="1">
      <x:alignment horizontal="center" vertical="center" wrapText="1"/>
    </x:xf>
    <x:xf numFmtId="0" fontId="7" fillId="0" borderId="94" xfId="0" applyNumberFormat="1" applyFont="1" applyFill="1" applyBorder="1"/>
    <x:xf numFmtId="0" fontId="46" fillId="2" borderId="78" xfId="0" applyNumberFormat="1" applyFont="1" applyFill="1" applyBorder="1" applyAlignment="1">
      <x:alignment horizontal="center"/>
    </x:xf>
    <x:xf numFmtId="0" fontId="47" fillId="0" borderId="78" xfId="0" applyNumberFormat="1" applyFont="1" applyFill="1" applyBorder="1"/>
    <x:xf numFmtId="0" fontId="35" fillId="0" borderId="89" xfId="0" applyNumberFormat="1" applyFont="1" applyFill="1" applyBorder="1" applyAlignment="1">
      <x:alignment horizontal="center" vertical="top" wrapText="1"/>
    </x:xf>
    <x:xf numFmtId="0" fontId="46" fillId="2" borderId="78" xfId="0" applyNumberFormat="1" applyFont="1" applyFill="1" applyBorder="1" applyAlignment="1">
      <x:alignment horizontal="center" vertical="center"/>
    </x:xf>
    <x:xf numFmtId="0" fontId="47" fillId="0" borderId="78" xfId="0" applyNumberFormat="1" applyFont="1" applyFill="1" applyBorder="1" applyAlignment="1">
      <x:alignment vertical="center"/>
    </x:xf>
    <x:xf numFmtId="0" fontId="49" fillId="2" borderId="78" xfId="0" applyNumberFormat="1" applyFont="1" applyFill="1" applyBorder="1" applyAlignment="1">
      <x:alignment horizontal="center" vertical="top"/>
    </x:xf>
    <x:xf numFmtId="0" fontId="34" fillId="0" borderId="78" xfId="0" applyNumberFormat="1" applyFont="1" applyFill="1" applyBorder="1" applyAlignment="1">
      <x:alignment vertical="top"/>
    </x:xf>
    <x:xf numFmtId="0" fontId="1" fillId="0" borderId="97" xfId="0" applyNumberFormat="1" applyFont="1" applyFill="1" applyBorder="1" applyAlignment="1">
      <x:alignment horizontal="left" vertical="top" wrapText="1"/>
    </x:xf>
    <x:xf numFmtId="0" fontId="17" fillId="0" borderId="80" xfId="0" applyNumberFormat="1" applyFont="1" applyFill="1" applyBorder="1" applyAlignment="1">
      <x:alignment horizontal="center" vertical="center"/>
    </x:xf>
    <x:xf numFmtId="0" fontId="31" fillId="0" borderId="80" xfId="0" applyNumberFormat="1" applyFont="1" applyFill="1" applyBorder="1"/>
    <x:xf numFmtId="0" fontId="7" fillId="0" borderId="97" xfId="0" applyNumberFormat="1" applyFont="1" applyFill="1" applyBorder="1" applyAlignment="1">
      <x:alignment horizontal="left"/>
    </x:xf>
    <x:xf numFmtId="0" fontId="1" fillId="0" borderId="89" xfId="0" applyNumberFormat="1" applyFont="1" applyFill="1" applyBorder="1" applyAlignment="1">
      <x:alignment horizontal="center" vertical="top" wrapText="1"/>
    </x:xf>
    <x:xf numFmtId="0" fontId="1" fillId="0" borderId="89" xfId="0" applyNumberFormat="1" applyFont="1" applyFill="1" applyBorder="1" applyAlignment="1">
      <x:alignment horizontal="left" vertical="top" wrapText="1"/>
    </x:xf>
    <x:xf numFmtId="0" fontId="0" fillId="0" borderId="79" xfId="0" applyNumberFormat="1" applyFont="1" applyFill="1" applyBorder="1" applyAlignment="1">
      <x:alignment horizontal="left" vertical="top" wrapText="1"/>
    </x:xf>
    <x:xf numFmtId="0" fontId="42" fillId="0" borderId="79" xfId="0" applyNumberFormat="1" applyFont="1" applyFill="1" applyBorder="1" applyAlignment="1">
      <x:alignment horizontal="left" vertical="top" wrapText="1"/>
    </x:xf>
    <x:xf numFmtId="0" fontId="42" fillId="0" borderId="84" xfId="0" applyNumberFormat="1" applyFont="1" applyFill="1" applyBorder="1" applyAlignment="1">
      <x:alignment horizontal="left" vertical="top" wrapText="1"/>
    </x:xf>
    <x:xf numFmtId="0" fontId="48" fillId="2" borderId="78" xfId="0" applyNumberFormat="1" applyFont="1" applyFill="1" applyBorder="1" applyAlignment="1">
      <x:alignment horizontal="center"/>
    </x:xf>
    <x:xf numFmtId="0" fontId="62" fillId="0" borderId="78" xfId="0" applyNumberFormat="1" applyFont="1" applyFill="1" applyBorder="1"/>
    <x:xf numFmtId="0" fontId="64" fillId="2" borderId="78" xfId="0" applyNumberFormat="1" applyFont="1" applyFill="1" applyBorder="1" applyAlignment="1">
      <x:alignment horizontal="center"/>
    </x:xf>
    <x:xf numFmtId="0" fontId="63" fillId="0" borderId="78" xfId="0" applyNumberFormat="1" applyFont="1" applyFill="1" applyBorder="1"/>
    <x:xf numFmtId="0" fontId="7" fillId="0" borderId="90" xfId="0" applyNumberFormat="1" applyFont="1" applyFill="1" applyBorder="1"/>
    <x:xf numFmtId="0" fontId="36" fillId="0" borderId="84" xfId="0" applyNumberFormat="1" applyFont="1" applyFill="1" applyBorder="1" applyAlignment="1">
      <x:alignment horizontal="center" vertical="top" wrapText="1"/>
    </x:xf>
    <x:xf numFmtId="0" fontId="36" fillId="0" borderId="79" xfId="0" applyNumberFormat="1" applyFont="1" applyFill="1" applyBorder="1" applyAlignment="1">
      <x:alignment horizontal="justify" vertical="top" wrapText="1"/>
    </x:xf>
    <x:xf numFmtId="0" fontId="36" fillId="0" borderId="89" xfId="0" applyNumberFormat="1" applyFont="1" applyFill="1" applyBorder="1" applyAlignment="1">
      <x:alignment horizontal="justify" vertical="top" wrapText="1"/>
    </x:xf>
    <x:xf numFmtId="0" fontId="36" fillId="0" borderId="79" xfId="0" applyNumberFormat="1" applyFont="1" applyFill="1" applyBorder="1" applyAlignment="1">
      <x:alignment horizontal="left" vertical="top" wrapText="1"/>
    </x:xf>
    <x:xf numFmtId="0" fontId="36" fillId="0" borderId="89" xfId="0" applyNumberFormat="1" applyFont="1" applyFill="1" applyBorder="1" applyAlignment="1">
      <x:alignment horizontal="left" vertical="top" wrapText="1"/>
    </x:xf>
    <x:xf numFmtId="0" fontId="42" fillId="0" borderId="89" xfId="0" applyNumberFormat="1" applyFont="1" applyFill="1" applyBorder="1" applyAlignment="1">
      <x:alignment horizontal="left" vertical="top" wrapText="1"/>
    </x:xf>
    <x:xf numFmtId="0" fontId="42" fillId="0" borderId="79" xfId="0" applyNumberFormat="1" applyFont="1" applyFill="1" applyBorder="1" applyAlignment="1">
      <x:alignment horizontal="center" vertical="center" wrapText="1"/>
    </x:xf>
    <x:xf numFmtId="0" fontId="42" fillId="0" borderId="89" xfId="0" applyNumberFormat="1" applyFont="1" applyFill="1" applyBorder="1" applyAlignment="1">
      <x:alignment horizontal="center" vertical="center" wrapText="1"/>
    </x:xf>
    <x:xf numFmtId="0" fontId="42" fillId="0" borderId="84" xfId="0" applyNumberFormat="1" applyFont="1" applyFill="1" applyBorder="1" applyAlignment="1">
      <x:alignment horizontal="center" vertical="center" wrapText="1"/>
    </x:xf>
    <x:xf numFmtId="0" fontId="31" fillId="0" borderId="80" xfId="0" applyNumberFormat="1" applyFont="1" applyFill="1" applyBorder="1" applyAlignment="1">
      <x:alignment horizontal="center" vertical="center"/>
    </x:xf>
    <x:xf numFmtId="0" fontId="10" fillId="0" borderId="91" xfId="0" applyNumberFormat="1" applyFont="1" applyFill="1" applyBorder="1" applyAlignment="1">
      <x:alignment horizontal="center" vertical="center"/>
    </x:xf>
    <x:xf numFmtId="0" fontId="10" fillId="0" borderId="87" xfId="0" applyNumberFormat="1" applyFont="1" applyFill="1" applyBorder="1" applyAlignment="1">
      <x:alignment horizontal="center" vertical="center"/>
    </x:xf>
    <x:xf numFmtId="0" fontId="10" fillId="0" borderId="94" xfId="0" applyNumberFormat="1" applyFont="1" applyFill="1" applyBorder="1" applyAlignment="1">
      <x:alignment horizontal="center" vertical="center"/>
    </x:xf>
    <x:xf numFmtId="0" fontId="5" fillId="0" borderId="86" xfId="0" applyNumberFormat="1" applyFont="1" applyFill="1" applyBorder="1" applyAlignment="1">
      <x:alignment horizontal="center" vertical="center"/>
    </x:xf>
    <x:xf numFmtId="0" fontId="5" fillId="0" borderId="85" xfId="0" applyNumberFormat="1" applyFont="1" applyFill="1" applyBorder="1" applyAlignment="1">
      <x:alignment horizontal="center" vertical="center"/>
    </x:xf>
    <x:xf numFmtId="0" fontId="5" fillId="0" borderId="87" xfId="0" applyNumberFormat="1" applyFont="1" applyFill="1" applyBorder="1" applyAlignment="1">
      <x:alignment horizontal="center" vertical="center"/>
    </x:xf>
    <x:xf numFmtId="0" fontId="5" fillId="0" borderId="88" xfId="0" applyNumberFormat="1" applyFont="1" applyFill="1" applyBorder="1" applyAlignment="1">
      <x:alignment horizontal="center" vertical="center"/>
    </x:xf>
    <x:xf numFmtId="0" fontId="31" fillId="0" borderId="87" xfId="0" applyNumberFormat="1" applyFont="1" applyFill="1" applyBorder="1" applyAlignment="1">
      <x:alignment horizontal="center" vertical="center"/>
    </x:xf>
    <x:xf numFmtId="0" fontId="31" fillId="0" borderId="94" xfId="0" applyNumberFormat="1" applyFont="1" applyFill="1" applyBorder="1" applyAlignment="1">
      <x:alignment horizontal="center" vertical="center"/>
    </x:xf>
    <x:xf numFmtId="0" fontId="31" fillId="0" borderId="88" xfId="0" applyNumberFormat="1" applyFont="1" applyFill="1" applyBorder="1" applyAlignment="1">
      <x:alignment horizontal="center" vertical="center"/>
    </x:xf>
    <x:xf numFmtId="0" fontId="31" fillId="0" borderId="96" xfId="0" applyNumberFormat="1" applyFont="1" applyFill="1" applyBorder="1" applyAlignment="1">
      <x:alignment horizontal="center" vertical="center"/>
    </x:xf>
    <x:xf numFmtId="0" fontId="5" fillId="0" borderId="79" xfId="0" applyNumberFormat="1" applyFont="1" applyFill="1" applyBorder="1" applyAlignment="1">
      <x:alignment horizontal="center" vertical="center" wrapText="1"/>
    </x:xf>
    <x:xf numFmtId="0" fontId="5" fillId="0" borderId="84" xfId="0" applyNumberFormat="1" applyFont="1" applyFill="1" applyBorder="1" applyAlignment="1">
      <x:alignment horizontal="center" vertical="center" wrapText="1"/>
    </x:xf>
    <x:xf numFmtId="0" fontId="5" fillId="4" borderId="79" xfId="0" applyNumberFormat="1" applyFont="1" applyFill="1" applyBorder="1" applyAlignment="1">
      <x:alignment horizontal="center" vertical="center" wrapText="1"/>
    </x:xf>
    <x:xf numFmtId="0" fontId="5" fillId="4" borderId="84" xfId="0" applyNumberFormat="1" applyFont="1" applyFill="1" applyBorder="1" applyAlignment="1">
      <x:alignment horizontal="center" vertical="center" wrapText="1"/>
    </x:xf>
    <x:xf numFmtId="0" fontId="7" fillId="0" borderId="79" xfId="0" applyNumberFormat="1" applyFont="1" applyFill="1" applyBorder="1" applyAlignment="1">
      <x:alignment horizontal="center" vertical="center"/>
    </x:xf>
    <x:xf numFmtId="0" fontId="7" fillId="0" borderId="84" xfId="0" applyNumberFormat="1" applyFont="1" applyFill="1" applyBorder="1" applyAlignment="1">
      <x:alignment horizontal="center" vertical="center"/>
    </x:xf>
    <x:xf numFmtId="0" fontId="31" fillId="0" borderId="79" xfId="0" applyNumberFormat="1" applyFont="1" applyFill="1" applyBorder="1" applyAlignment="1">
      <x:alignment horizontal="center" vertical="center" wrapText="1"/>
    </x:xf>
    <x:xf numFmtId="0" fontId="31" fillId="0" borderId="84" xfId="0" applyNumberFormat="1" applyFont="1" applyFill="1" applyBorder="1" applyAlignment="1">
      <x:alignment horizontal="center" vertical="center" wrapText="1"/>
    </x:xf>
    <x:xf numFmtId="0" fontId="2" fillId="0" borderId="89" xfId="0" applyNumberFormat="1" applyFont="1" applyFill="1" applyBorder="1" applyAlignment="1">
      <x:alignment horizontal="left" vertical="top" wrapText="1"/>
    </x:xf>
    <x:xf numFmtId="0" fontId="7" fillId="4" borderId="79" xfId="0" applyNumberFormat="1" applyFont="1" applyFill="1" applyBorder="1" applyAlignment="1">
      <x:alignment horizontal="center" vertical="center" wrapText="1"/>
    </x:xf>
    <x:xf numFmtId="0" fontId="7" fillId="4" borderId="84" xfId="0" applyNumberFormat="1" applyFont="1" applyFill="1" applyBorder="1" applyAlignment="1">
      <x:alignment horizontal="center" vertical="center" wrapText="1"/>
    </x:xf>
    <x:xf numFmtId="0" fontId="31" fillId="4" borderId="79" xfId="0" applyNumberFormat="1" applyFont="1" applyFill="1" applyBorder="1" applyAlignment="1">
      <x:alignment horizontal="center" vertical="center" wrapText="1"/>
    </x:xf>
    <x:xf numFmtId="0" fontId="31" fillId="4" borderId="84" xfId="0" applyNumberFormat="1" applyFont="1" applyFill="1" applyBorder="1" applyAlignment="1">
      <x:alignment horizontal="center" vertical="center" wrapText="1"/>
    </x:xf>
    <x:xf numFmtId="0" fontId="5" fillId="4" borderId="79" xfId="0" applyNumberFormat="1" applyFont="1" applyFill="1" applyBorder="1" applyAlignment="1">
      <x:alignment horizontal="center" vertical="center"/>
    </x:xf>
    <x:xf numFmtId="0" fontId="5" fillId="4" borderId="84" xfId="0" applyNumberFormat="1" applyFont="1" applyFill="1" applyBorder="1" applyAlignment="1">
      <x:alignment horizontal="center" vertical="center"/>
    </x:xf>
    <x:xf numFmtId="0" fontId="5" fillId="4" borderId="86" xfId="0" applyNumberFormat="1" applyFont="1" applyFill="1" applyBorder="1" applyAlignment="1">
      <x:alignment horizontal="center" vertical="center"/>
    </x:xf>
    <x:xf numFmtId="0" fontId="5" fillId="4" borderId="85" xfId="0" applyNumberFormat="1" applyFont="1" applyFill="1" applyBorder="1" applyAlignment="1">
      <x:alignment horizontal="center" vertical="center"/>
    </x:xf>
    <x:xf numFmtId="0" fontId="5" fillId="4" borderId="87" xfId="0" applyNumberFormat="1" applyFont="1" applyFill="1" applyBorder="1" applyAlignment="1">
      <x:alignment horizontal="center" vertical="center"/>
    </x:xf>
    <x:xf numFmtId="0" fontId="31" fillId="4" borderId="87" xfId="0" applyNumberFormat="1" applyFont="1" applyFill="1" applyBorder="1" applyAlignment="1">
      <x:alignment horizontal="center" vertical="center"/>
    </x:xf>
    <x:xf numFmtId="0" fontId="31" fillId="4" borderId="94" xfId="0" applyNumberFormat="1" applyFont="1" applyFill="1" applyBorder="1" applyAlignment="1">
      <x:alignment horizontal="center" vertical="center"/>
    </x:xf>
    <x:xf numFmtId="0" fontId="31" fillId="4" borderId="88" xfId="0" applyNumberFormat="1" applyFont="1" applyFill="1" applyBorder="1" applyAlignment="1">
      <x:alignment horizontal="center" vertical="center"/>
    </x:xf>
    <x:xf numFmtId="0" fontId="31" fillId="4" borderId="96" xfId="0" applyNumberFormat="1" applyFont="1" applyFill="1" applyBorder="1" applyAlignment="1">
      <x:alignment horizontal="center" vertical="center"/>
    </x:xf>
    <x:xf numFmtId="0" fontId="65" fillId="13" borderId="127" xfId="0" applyNumberFormat="1" applyFont="1" applyFill="1" applyBorder="1" applyAlignment="1">
      <x:alignment horizontal="center" vertical="center"/>
    </x:xf>
    <x:xf numFmtId="0" fontId="67" fillId="13" borderId="127" xfId="0" applyNumberFormat="1" applyFont="1" applyFill="1" applyBorder="1" applyAlignment="1">
      <x:alignment horizontal="center" vertical="center" wrapText="1"/>
    </x:xf>
    <x:xf numFmtId="0" fontId="65" fillId="13" borderId="127" xfId="0" applyNumberFormat="1" applyFont="1" applyFill="1" applyBorder="1" applyAlignment="1">
      <x:alignment horizontal="center" vertical="center" wrapText="1"/>
    </x:xf>
    <x:xf numFmtId="0" fontId="66" fillId="12" borderId="135" xfId="0" applyNumberFormat="1" applyFont="1" applyFill="1" applyBorder="1" applyAlignment="1">
      <x:alignment horizontal="center" vertical="top"/>
    </x:xf>
    <x:xf numFmtId="0" fontId="66" fillId="12" borderId="137" xfId="0" applyNumberFormat="1" applyFont="1" applyFill="1" applyBorder="1" applyAlignment="1">
      <x:alignment horizontal="center" vertical="top"/>
    </x:xf>
    <x:xf numFmtId="0" fontId="71" fillId="12" borderId="135" xfId="0" applyNumberFormat="1" applyFont="1" applyFill="1" applyBorder="1" applyAlignment="1">
      <x:alignment horizontal="center" vertical="center" wrapText="1"/>
    </x:xf>
    <x:xf numFmtId="0" fontId="71" fillId="12" borderId="134" xfId="0" applyNumberFormat="1" applyFont="1" applyFill="1" applyBorder="1" applyAlignment="1">
      <x:alignment horizontal="center" vertical="center" wrapText="1"/>
    </x:xf>
    <x:xf numFmtId="0" fontId="65" fillId="12" borderId="142" xfId="0" applyNumberFormat="1" applyFont="1" applyFill="1" applyBorder="1" applyAlignment="1">
      <x:alignment horizontal="center" vertical="top" wrapText="1"/>
    </x:xf>
    <x:xf numFmtId="0" fontId="76" fillId="13" borderId="127" xfId="0" applyNumberFormat="1" applyFont="1" applyFill="1" applyBorder="1" applyAlignment="1">
      <x:alignment horizontal="left" vertical="top" wrapText="1"/>
    </x:xf>
    <x:xf numFmtId="0" fontId="70" fillId="12" borderId="78" xfId="0" applyNumberFormat="1" applyFont="1" applyFill="1" applyBorder="1" applyAlignment="1">
      <x:alignment horizontal="center" vertical="center"/>
    </x:xf>
    <x:xf numFmtId="0" fontId="79" fillId="12" borderId="127" xfId="0" applyNumberFormat="1" applyFont="1" applyFill="1" applyBorder="1" applyAlignment="1">
      <x:alignment horizontal="center" vertical="center"/>
    </x:xf>
    <x:xf numFmtId="0" fontId="70" fillId="12" borderId="134" xfId="0" applyNumberFormat="1" applyFont="1" applyFill="1" applyBorder="1" applyAlignment="1">
      <x:alignment horizontal="center" vertical="center"/>
    </x:xf>
    <x:xf numFmtId="172" fontId="69" fillId="12" borderId="134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top"/>
    </x:xf>
    <x:xf numFmtId="200" fontId="8" fillId="0" borderId="4" xfId="0" applyNumberFormat="1" applyFont="1" applyFill="1" applyBorder="1" applyAlignment="1">
      <x:alignment horizontal="center" vertical="top"/>
    </x:xf>
    <x:xf numFmtId="200" fontId="0" fillId="0" borderId="80" xfId="0" applyNumberFormat="1" applyFont="1" applyFill="1" applyBorder="1" applyAlignment="1">
      <x:alignment horizontal="center" vertical="top"/>
    </x:xf>
    <x:xf numFmtId="200" fontId="8" fillId="0" borderId="80" xfId="0" applyNumberFormat="1" applyFont="1" applyFill="1" applyBorder="1" applyAlignment="1">
      <x:alignment horizontal="center" vertical="top"/>
    </x:xf>
    <x:xf numFmtId="200" fontId="0" fillId="0" borderId="4" xfId="0" applyNumberFormat="1" applyFont="1" applyFill="1" applyBorder="1" applyAlignment="1">
      <x:alignment vertical="center"/>
    </x:xf>
    <x:xf numFmtId="200" fontId="0" fillId="0" borderId="8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78" xfId="0" applyNumberFormat="1" applyFont="1" applyFill="1" applyBorder="1" applyAlignment="1">
      <x:alignment vertical="center"/>
    </x:xf>
    <x:xf numFmtId="201" fontId="79" fillId="12" borderId="76" xfId="0" applyNumberFormat="1" applyFont="1" applyFill="1" applyBorder="1" applyAlignment="1">
      <x:alignment vertical="center"/>
    </x:xf>
    <x:xf numFmtId="201" fontId="79" fillId="12" borderId="77" xfId="0" applyNumberFormat="1" applyFont="1" applyFill="1" applyBorder="1" applyAlignment="1">
      <x:alignment vertical="center"/>
    </x:xf>
    <x:xf numFmtId="201" fontId="80" fillId="12" borderId="32" xfId="0" applyNumberFormat="1" applyFont="1" applyFill="1" applyBorder="1" applyAlignment="1">
      <x:alignment vertical="center"/>
    </x:xf>
    <x:xf numFmtId="201" fontId="80" fillId="12" borderId="27" xfId="0" applyNumberFormat="1" applyFont="1" applyFill="1" applyBorder="1" applyAlignment="1">
      <x:alignment vertical="center"/>
    </x:xf>
    <x:xf numFmtId="201" fontId="80" fillId="12" borderId="25" xfId="0" applyNumberFormat="1" applyFont="1" applyFill="1" applyBorder="1" applyAlignment="1">
      <x:alignment vertical="center"/>
    </x:xf>
    <x:xf numFmtId="201" fontId="80" fillId="12" borderId="26" xfId="0" applyNumberFormat="1" applyFont="1" applyFill="1" applyBorder="1" applyAlignment="1">
      <x:alignment vertical="center"/>
    </x:xf>
    <x:xf numFmtId="201" fontId="79" fillId="12" borderId="138" xfId="0" applyNumberFormat="1" applyFont="1" applyFill="1" applyBorder="1" applyAlignment="1">
      <x:alignment vertical="center"/>
    </x:xf>
    <x:xf numFmtId="201" fontId="79" fillId="12" borderId="139" xfId="0" applyNumberFormat="1" applyFont="1" applyFill="1" applyBorder="1" applyAlignment="1">
      <x:alignment vertical="center"/>
    </x:xf>
    <x:xf numFmtId="201" fontId="80" fillId="12" borderId="134" xfId="0" applyNumberFormat="1" applyFont="1" applyFill="1" applyBorder="1" applyAlignment="1">
      <x:alignment vertical="center"/>
    </x:xf>
    <x:xf numFmtId="201" fontId="80" fillId="12" borderId="127" xfId="0" applyNumberFormat="1" applyFont="1" applyFill="1" applyBorder="1" applyAlignment="1">
      <x:alignment vertical="center"/>
    </x:xf>
    <x:xf numFmtId="201" fontId="80" fillId="12" borderId="135" xfId="0" applyNumberFormat="1" applyFont="1" applyFill="1" applyBorder="1" applyAlignment="1">
      <x:alignment vertical="center"/>
    </x:xf>
    <x:xf numFmtId="201" fontId="80" fillId="12" borderId="137" xfId="0" applyNumberFormat="1" applyFont="1" applyFill="1" applyBorder="1" applyAlignment="1">
      <x:alignment vertical="center"/>
    </x:xf>
    <x:xf numFmtId="201" fontId="69" fillId="12" borderId="32" xfId="0" applyNumberFormat="1" applyFont="1" applyFill="1" applyBorder="1" applyAlignment="1">
      <x:alignment vertical="center"/>
    </x:xf>
    <x:xf numFmtId="201" fontId="69" fillId="12" borderId="134" xfId="0" applyNumberFormat="1" applyFont="1" applyFill="1" applyBorder="1" applyAlignment="1">
      <x:alignment vertical="center"/>
    </x:xf>
    <x:xf numFmtId="202" fontId="79" fillId="12" borderId="76" xfId="0" applyNumberFormat="1" applyFont="1" applyFill="1" applyBorder="1" applyAlignment="1">
      <x:alignment vertical="center"/>
    </x:xf>
    <x:xf numFmtId="202" fontId="79" fillId="12" borderId="77" xfId="0" applyNumberFormat="1" applyFont="1" applyFill="1" applyBorder="1" applyAlignment="1">
      <x:alignment vertical="center"/>
    </x:xf>
    <x:xf numFmtId="202" fontId="80" fillId="12" borderId="32" xfId="0" applyNumberFormat="1" applyFont="1" applyFill="1" applyBorder="1" applyAlignment="1">
      <x:alignment vertical="center"/>
    </x:xf>
    <x:xf numFmtId="202" fontId="80" fillId="12" borderId="27" xfId="0" applyNumberFormat="1" applyFont="1" applyFill="1" applyBorder="1" applyAlignment="1">
      <x:alignment vertical="center"/>
    </x:xf>
    <x:xf numFmtId="202" fontId="80" fillId="12" borderId="25" xfId="0" applyNumberFormat="1" applyFont="1" applyFill="1" applyBorder="1" applyAlignment="1">
      <x:alignment vertical="center"/>
    </x:xf>
    <x:xf numFmtId="202" fontId="70" fillId="12" borderId="32" xfId="0" applyNumberFormat="1" applyFont="1" applyFill="1" applyBorder="1" applyAlignment="1">
      <x:alignment vertical="center"/>
    </x:xf>
    <x:xf numFmtId="202" fontId="79" fillId="12" borderId="138" xfId="0" applyNumberFormat="1" applyFont="1" applyFill="1" applyBorder="1" applyAlignment="1">
      <x:alignment vertical="center"/>
    </x:xf>
    <x:xf numFmtId="202" fontId="79" fillId="12" borderId="139" xfId="0" applyNumberFormat="1" applyFont="1" applyFill="1" applyBorder="1" applyAlignment="1">
      <x:alignment vertical="center"/>
    </x:xf>
    <x:xf numFmtId="202" fontId="80" fillId="12" borderId="134" xfId="0" applyNumberFormat="1" applyFont="1" applyFill="1" applyBorder="1" applyAlignment="1">
      <x:alignment vertical="center"/>
    </x:xf>
    <x:xf numFmtId="202" fontId="80" fillId="12" borderId="127" xfId="0" applyNumberFormat="1" applyFont="1" applyFill="1" applyBorder="1" applyAlignment="1">
      <x:alignment vertical="center"/>
    </x:xf>
    <x:xf numFmtId="202" fontId="80" fillId="12" borderId="135" xfId="0" applyNumberFormat="1" applyFont="1" applyFill="1" applyBorder="1" applyAlignment="1">
      <x:alignment vertical="center"/>
    </x:xf>
    <x:xf numFmtId="202" fontId="70" fillId="12" borderId="134" xfId="0" applyNumberFormat="1" applyFont="1" applyFill="1" applyBorder="1" applyAlignment="1">
      <x:alignment vertical="center"/>
    </x:xf>
    <x:xf numFmtId="202" fontId="80" fillId="12" borderId="26" xfId="0" applyNumberFormat="1" applyFont="1" applyFill="1" applyBorder="1" applyAlignment="1">
      <x:alignment vertical="center"/>
    </x:xf>
  </x:cellXfs>
  <x:cellStyles count="13">
    <x:cellStyle name="Comma" xfId="1"/>
    <x:cellStyle name="Comma [0] 2" xfId="7"/>
    <x:cellStyle name="Comma [0] 2 2" xfId="8"/>
    <x:cellStyle name="Comma 2" xfId="3"/>
    <x:cellStyle name="Comma 3" xfId="11"/>
    <x:cellStyle name="Normal" xfId="0"/>
    <x:cellStyle name="Normal 2" xfId="2"/>
    <x:cellStyle name="Normal 2 2" xfId="9"/>
    <x:cellStyle name="Normal 2 3" xfId="12"/>
    <x:cellStyle name="Normal 3" xfId="5"/>
    <x:cellStyle name="Normal 4" xfId="4"/>
    <x:cellStyle name="Normal 5" xfId="10"/>
    <x:cellStyle name="Percent 2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b8be1da054e82" /><Relationship Type="http://schemas.openxmlformats.org/officeDocument/2006/relationships/theme" Target="/xl/theme/theme1.xml" Id="Rdeb102e64a354384" /><Relationship Type="http://schemas.openxmlformats.org/officeDocument/2006/relationships/sharedStrings" Target="/xl/sharedStrings.xml" Id="R496f35aebce347b0" /><Relationship Type="http://schemas.openxmlformats.org/officeDocument/2006/relationships/worksheet" Target="/xl/worksheets/sheet1.xml" Id="R3abe9bb442124630" /><Relationship Type="http://schemas.openxmlformats.org/officeDocument/2006/relationships/worksheet" Target="/xl/worksheets/sheet2.xml" Id="Rde20ca5dd7e04aac" /><Relationship Type="http://schemas.openxmlformats.org/officeDocument/2006/relationships/worksheet" Target="/xl/worksheets/sheet3.xml" Id="R4ebeab590a8f4f60" /><Relationship Type="http://schemas.openxmlformats.org/officeDocument/2006/relationships/worksheet" Target="/xl/worksheets/sheet4.xml" Id="Rac0a1f1ae6a04657" /><Relationship Type="http://schemas.openxmlformats.org/officeDocument/2006/relationships/worksheet" Target="/xl/worksheets/sheet5.xml" Id="R9569e6f15b1f48d8" /><Relationship Type="http://schemas.openxmlformats.org/officeDocument/2006/relationships/worksheet" Target="/xl/worksheets/sheet6.xml" Id="Rbdccc2386aa44a4d" /><Relationship Type="http://schemas.openxmlformats.org/officeDocument/2006/relationships/worksheet" Target="/xl/worksheets/sheet7.xml" Id="Rb868d4a811f24ff0" /><Relationship Type="http://schemas.openxmlformats.org/officeDocument/2006/relationships/worksheet" Target="/xl/worksheets/sheet8.xml" Id="Rb5072c64a6634a63" /><Relationship Type="http://schemas.openxmlformats.org/officeDocument/2006/relationships/worksheet" Target="/xl/worksheets/sheet9.xml" Id="R50544c47d2ff4163" /><Relationship Type="http://schemas.openxmlformats.org/officeDocument/2006/relationships/worksheet" Target="/xl/worksheets/sheet10.xml" Id="R31f7345fb45048d1" /><Relationship Type="http://schemas.openxmlformats.org/officeDocument/2006/relationships/worksheet" Target="/xl/worksheets/sheet11.xml" Id="Rd4b9dc7aed384d18" /><Relationship Type="http://schemas.openxmlformats.org/officeDocument/2006/relationships/worksheet" Target="/xl/worksheets/sheet12.xml" Id="Rcc71f7f0b8344fc9" /><Relationship Type="http://schemas.openxmlformats.org/officeDocument/2006/relationships/worksheet" Target="/xl/worksheets/sheet13.xml" Id="R1c789b6b85ce47e3" /><Relationship Type="http://schemas.openxmlformats.org/officeDocument/2006/relationships/worksheet" Target="/xl/worksheets/sheet14.xml" Id="R871b7e59a1744732" /><Relationship Type="http://schemas.microsoft.com/office/2017/10/relationships/person" Target="/xl/persons/person.xml" Id="R23c3b01ed60d4a7a" /></Relationships>
</file>

<file path=xl/persons/person.xml><?xml version="1.0" encoding="utf-8"?>
<xltc:personList xmlns:xltc="http://schemas.microsoft.com/office/spreadsheetml/2018/threadedcomments">
  <xltc:person displayName="Perencana Hari Ini" id="{F188742D-5344-4008-A034-84C5B799E21F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.6640625" customWidth="1"/>
    <x:col min="2" max="2" width="22.6640625" customWidth="1"/>
    <x:col min="3" max="3" width="16.33203125" customWidth="1"/>
    <x:col min="4" max="4" width="12.59765625" customWidth="1"/>
    <x:col min="5" max="5" width="12.33203125" customWidth="1"/>
    <x:col min="6" max="6" width="9.59765625" customWidth="1"/>
    <x:col min="7" max="7" width="7.33203125" customWidth="1"/>
    <x:col min="8" max="8" width="11.06640625" customWidth="1"/>
    <x:col min="10" max="10" width="10.53125" customWidth="1"/>
    <x:col min="12" max="12" width="12.86328125" customWidth="1"/>
  </x:cols>
  <x:sheetData>
    <x:row r="1" ht="18">
      <x:c r="A1" s="599" t="s">
        <x:v>0</x:v>
      </x:c>
      <x:c r="B1" s="599"/>
      <x:c r="C1" s="599"/>
      <x:c r="D1" s="599"/>
      <x:c r="E1" s="599"/>
      <x:c r="F1" s="599"/>
      <x:c r="G1" s="599"/>
      <x:c r="H1" s="599"/>
      <x:c r="I1" s="599"/>
      <x:c r="J1" s="599"/>
      <x:c r="K1" s="599"/>
      <x:c r="L1" s="599"/>
    </x:row>
    <x:row r="2" ht="18">
      <x:c r="A2" s="599" t="s">
        <x:v>1</x:v>
      </x:c>
      <x:c r="B2" s="599"/>
      <x:c r="C2" s="599"/>
      <x:c r="D2" s="599"/>
      <x:c r="E2" s="599"/>
      <x:c r="F2" s="599"/>
      <x:c r="G2" s="599"/>
      <x:c r="H2" s="599"/>
      <x:c r="I2" s="599"/>
      <x:c r="J2" s="599"/>
      <x:c r="K2" s="599"/>
      <x:c r="L2" s="599"/>
    </x:row>
    <x:row r="3">
      <x:c r="A3" s="600" t="s">
        <x:v>2</x:v>
      </x:c>
      <x:c r="B3" s="601"/>
      <x:c r="C3" s="601"/>
      <x:c r="D3" s="601"/>
      <x:c r="E3" s="601"/>
      <x:c r="F3" s="601"/>
      <x:c r="G3" s="601"/>
      <x:c r="H3" s="601"/>
      <x:c r="I3" s="601"/>
      <x:c r="J3" s="601"/>
      <x:c r="K3" s="601"/>
      <x:c r="L3" s="601"/>
    </x:row>
    <x:row r="4">
      <x:c r="A4" s="36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</x:row>
    <x:row r="5" ht="7.150000095367432" customHeight="1">
      <x:c r="A5" s="605" t="s">
        <x:v>3</x:v>
      </x:c>
      <x:c r="B5" s="605" t="s">
        <x:v>4</x:v>
      </x:c>
      <x:c r="C5" s="606" t="s">
        <x:v>5</x:v>
      </x:c>
      <x:c r="D5" s="606" t="s">
        <x:v>6</x:v>
      </x:c>
      <x:c r="E5" s="606" t="s">
        <x:v>7</x:v>
      </x:c>
      <x:c r="F5" s="607" t="s">
        <x:v>8</x:v>
      </x:c>
      <x:c r="G5" s="608"/>
      <x:c r="H5" s="602" t="s">
        <x:v>9</x:v>
      </x:c>
      <x:c r="I5" s="603"/>
      <x:c r="J5" s="603"/>
      <x:c r="K5" s="603"/>
      <x:c r="L5" s="604"/>
    </x:row>
    <x:row r="6">
      <x:c r="A6" s="605"/>
      <x:c r="B6" s="605"/>
      <x:c r="C6" s="606"/>
      <x:c r="D6" s="606"/>
      <x:c r="E6" s="606"/>
      <x:c r="F6" s="379" t="s">
        <x:v>10</x:v>
      </x:c>
      <x:c r="G6" s="609" t="s">
        <x:v>11</x:v>
      </x:c>
      <x:c r="H6" s="376">
        <x:v>2026</x:v>
      </x:c>
      <x:c r="I6" s="377">
        <x:v>2027</x:v>
      </x:c>
      <x:c r="J6" s="377">
        <x:v>2028</x:v>
      </x:c>
      <x:c r="K6" s="377">
        <x:v>2029</x:v>
      </x:c>
      <x:c r="L6" s="378">
        <x:v>2030</x:v>
      </x:c>
    </x:row>
    <x:row r="7">
      <x:c r="A7" s="605"/>
      <x:c r="B7" s="605"/>
      <x:c r="C7" s="606"/>
      <x:c r="D7" s="606"/>
      <x:c r="E7" s="606"/>
      <x:c r="F7" s="380">
        <x:v>2025</x:v>
      </x:c>
      <x:c r="G7" s="610"/>
      <x:c r="H7" s="376" t="s">
        <x:v>11</x:v>
      </x:c>
      <x:c r="I7" s="377" t="s">
        <x:v>12</x:v>
      </x:c>
      <x:c r="J7" s="377" t="s">
        <x:v>11</x:v>
      </x:c>
      <x:c r="K7" s="377" t="s">
        <x:v>12</x:v>
      </x:c>
      <x:c r="L7" s="378" t="s">
        <x:v>11</x:v>
      </x:c>
    </x:row>
    <x:row r="8">
      <x:c r="A8" s="375">
        <x:v>1</x:v>
      </x:c>
      <x:c r="B8" s="375" t="s">
        <x:v>13</x:v>
      </x:c>
      <x:c r="C8" s="375" t="s">
        <x:v>14</x:v>
      </x:c>
      <x:c r="D8" s="375" t="s">
        <x:v>15</x:v>
      </x:c>
      <x:c r="E8" s="375" t="s">
        <x:v>16</x:v>
      </x:c>
      <x:c r="F8" s="374">
        <x:v>3</x:v>
      </x:c>
      <x:c r="G8" s="371" t="s">
        <x:v>17</x:v>
      </x:c>
      <x:c r="H8" s="372">
        <x:v>3</x:v>
      </x:c>
      <x:c r="I8" s="370">
        <x:v>3</x:v>
      </x:c>
      <x:c r="J8" s="370">
        <x:v>3</x:v>
      </x:c>
      <x:c r="K8" s="370">
        <x:v>3</x:v>
      </x:c>
      <x:c r="L8" s="373">
        <x:v>3</x:v>
      </x:c>
    </x:row>
    <x:row r="9">
      <x:c r="A9" s="375">
        <x:v>2</x:v>
      </x:c>
      <x:c r="B9" s="375" t="s">
        <x:v>18</x:v>
      </x:c>
      <x:c r="C9" s="375" t="s">
        <x:v>19</x:v>
      </x:c>
      <x:c r="D9" s="375" t="s">
        <x:v>20</x:v>
      </x:c>
      <x:c r="E9" s="375" t="s">
        <x:v>21</x:v>
      </x:c>
      <x:c r="F9" s="374">
        <x:v>2.9</x:v>
      </x:c>
      <x:c r="G9" s="371" t="s">
        <x:v>22</x:v>
      </x:c>
      <x:c r="H9" s="372">
        <x:v>3</x:v>
      </x:c>
      <x:c r="I9" s="370">
        <x:v>3.1</x:v>
      </x:c>
      <x:c r="J9" s="370">
        <x:v>3.2</x:v>
      </x:c>
      <x:c r="K9" s="370">
        <x:v>3.3</x:v>
      </x:c>
      <x:c r="L9" s="373">
        <x:v>3.4</x:v>
      </x:c>
    </x:row>
    <x:row r="10">
      <x:c r="A10" s="375">
        <x:v>3</x:v>
      </x:c>
      <x:c r="B10" s="375" t="s">
        <x:v>23</x:v>
      </x:c>
      <x:c r="C10" s="375" t="s">
        <x:v>24</x:v>
      </x:c>
      <x:c r="D10" s="375" t="s">
        <x:v>25</x:v>
      </x:c>
      <x:c r="E10" s="375" t="s">
        <x:v>26</x:v>
      </x:c>
      <x:c r="F10" s="374">
        <x:v>2.9</x:v>
      </x:c>
      <x:c r="G10" s="371" t="s">
        <x:v>22</x:v>
      </x:c>
      <x:c r="H10" s="372">
        <x:v>3</x:v>
      </x:c>
      <x:c r="I10" s="370">
        <x:v>3.1</x:v>
      </x:c>
      <x:c r="J10" s="370">
        <x:v>3.2</x:v>
      </x:c>
      <x:c r="K10" s="370">
        <x:v>3.3</x:v>
      </x:c>
      <x:c r="L10" s="373">
        <x:v>3.4</x:v>
      </x:c>
    </x:row>
    <x:row r="11">
      <x:c r="A11" s="375">
        <x:v>4</x:v>
      </x:c>
      <x:c r="B11" s="375" t="s">
        <x:v>27</x:v>
      </x:c>
      <x:c r="C11" s="375" t="s">
        <x:v>28</x:v>
      </x:c>
      <x:c r="D11" s="375" t="s">
        <x:v>29</x:v>
      </x:c>
      <x:c r="E11" s="375" t="s">
        <x:v>30</x:v>
      </x:c>
      <x:c r="F11" s="374">
        <x:v>16</x:v>
      </x:c>
      <x:c r="G11" s="371" t="s">
        <x:v>31</x:v>
      </x:c>
      <x:c r="H11" s="372">
        <x:v>16</x:v>
      </x:c>
      <x:c r="I11" s="370">
        <x:v>17</x:v>
      </x:c>
      <x:c r="J11" s="370">
        <x:v>18</x:v>
      </x:c>
      <x:c r="K11" s="370">
        <x:v>19</x:v>
      </x:c>
      <x:c r="L11" s="373">
        <x:v>20</x:v>
      </x:c>
    </x:row>
    <x:row r="12">
      <x:c r="A12" s="375">
        <x:v>5</x:v>
      </x:c>
      <x:c r="B12" s="375" t="s">
        <x:v>32</x:v>
      </x:c>
      <x:c r="C12" s="375" t="s">
        <x:v>33</x:v>
      </x:c>
      <x:c r="D12" s="375" t="s">
        <x:v>34</x:v>
      </x:c>
      <x:c r="E12" s="375" t="s">
        <x:v>35</x:v>
      </x:c>
      <x:c r="F12" s="374">
        <x:v>71</x:v>
      </x:c>
      <x:c r="G12" s="371" t="s">
        <x:v>22</x:v>
      </x:c>
      <x:c r="H12" s="372">
        <x:v>72</x:v>
      </x:c>
      <x:c r="I12" s="370">
        <x:v>73</x:v>
      </x:c>
      <x:c r="J12" s="370">
        <x:v>74</x:v>
      </x:c>
      <x:c r="K12" s="370">
        <x:v>75</x:v>
      </x:c>
      <x:c r="L12" s="373">
        <x:v>76</x:v>
      </x:c>
    </x:row>
    <x:row r="13">
      <x:c r="A13" s="375">
        <x:v>6</x:v>
      </x:c>
      <x:c r="B13" s="375" t="s">
        <x:v>36</x:v>
      </x:c>
      <x:c r="C13" s="375" t="s">
        <x:v>37</x:v>
      </x:c>
      <x:c r="D13" s="375" t="s">
        <x:v>38</x:v>
      </x:c>
      <x:c r="E13" s="375" t="s">
        <x:v>39</x:v>
      </x:c>
      <x:c r="F13" s="374">
        <x:v>82</x:v>
      </x:c>
      <x:c r="G13" s="371" t="s">
        <x:v>40</x:v>
      </x:c>
      <x:c r="H13" s="372">
        <x:v>85</x:v>
      </x:c>
      <x:c r="I13" s="370">
        <x:v>88</x:v>
      </x:c>
      <x:c r="J13" s="370">
        <x:v>90</x:v>
      </x:c>
      <x:c r="K13" s="370">
        <x:v>92</x:v>
      </x:c>
      <x:c r="L13" s="373">
        <x:v>95</x:v>
      </x:c>
    </x:row>
    <x:row r="14">
      <x:c r="A14" s="375">
        <x:v>7</x:v>
      </x:c>
      <x:c r="B14" s="375" t="s">
        <x:v>41</x:v>
      </x:c>
      <x:c r="C14" s="375" t="s">
        <x:v>42</x:v>
      </x:c>
      <x:c r="D14" s="375" t="s">
        <x:v>43</x:v>
      </x:c>
      <x:c r="E14" s="375" t="s">
        <x:v>44</x:v>
      </x:c>
      <x:c r="F14" s="374">
        <x:v>3</x:v>
      </x:c>
      <x:c r="G14" s="371" t="s">
        <x:v>17</x:v>
      </x:c>
      <x:c r="H14" s="372">
        <x:v>3</x:v>
      </x:c>
      <x:c r="I14" s="370">
        <x:v>3</x:v>
      </x:c>
      <x:c r="J14" s="370">
        <x:v>3.5</x:v>
      </x:c>
      <x:c r="K14" s="370">
        <x:v>3.5</x:v>
      </x:c>
      <x:c r="L14" s="373">
        <x:v>4</x:v>
      </x:c>
    </x:row>
    <x:row r="15">
      <x:c r="A15" s="375"/>
      <x:c r="B15" s="375"/>
      <x:c r="C15" s="375"/>
      <x:c r="D15" s="375"/>
      <x:c r="E15" s="375"/>
      <x:c r="F15" s="374"/>
      <x:c r="G15" s="371"/>
      <x:c r="H15" s="372"/>
      <x:c r="I15" s="370"/>
      <x:c r="J15" s="370"/>
      <x:c r="K15" s="370"/>
      <x:c r="L15" s="373"/>
    </x:row>
    <x:row r="16">
      <x:c r="A16" s="375"/>
      <x:c r="B16" s="375"/>
      <x:c r="C16" s="375"/>
      <x:c r="D16" s="375"/>
      <x:c r="E16" s="375"/>
      <x:c r="F16" s="374"/>
      <x:c r="G16" s="371"/>
      <x:c r="H16" s="372"/>
      <x:c r="I16" s="370"/>
      <x:c r="J16" s="370"/>
      <x:c r="K16" s="370"/>
      <x:c r="L16" s="373"/>
    </x:row>
    <x:row r="17">
      <x:c r="A17" s="375"/>
      <x:c r="B17" s="375"/>
      <x:c r="C17" s="375"/>
      <x:c r="D17" s="375"/>
      <x:c r="E17" s="375"/>
      <x:c r="F17" s="374"/>
      <x:c r="G17" s="371"/>
      <x:c r="H17" s="372"/>
      <x:c r="I17" s="370"/>
      <x:c r="J17" s="370"/>
      <x:c r="K17" s="370"/>
      <x:c r="L17" s="373"/>
    </x:row>
    <x:row r="18">
      <x:c r="A18" s="375"/>
      <x:c r="B18" s="375"/>
      <x:c r="C18" s="375"/>
      <x:c r="D18" s="375"/>
      <x:c r="E18" s="375"/>
      <x:c r="F18" s="374"/>
      <x:c r="G18" s="371"/>
      <x:c r="H18" s="372"/>
      <x:c r="I18" s="370"/>
      <x:c r="J18" s="370"/>
      <x:c r="K18" s="370"/>
      <x:c r="L18" s="373"/>
    </x:row>
  </x:sheetData>
  <x:mergeCells>
    <x:mergeCell ref="A1:L1"/>
    <x:mergeCell ref="A2:L2"/>
    <x:mergeCell ref="A3:L3"/>
    <x:mergeCell ref="H5:L5"/>
    <x:mergeCell ref="A5:A7"/>
    <x:mergeCell ref="B5:B7"/>
    <x:mergeCell ref="C5:C7"/>
    <x:mergeCell ref="D5:D7"/>
    <x:mergeCell ref="E5:E7"/>
    <x:mergeCell ref="F5:G5"/>
    <x:mergeCell ref="G6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" customWidth="1"/>
    <x:col min="2" max="2" width="14.86328125" customWidth="1"/>
    <x:col min="3" max="3" width="23.46484375" customWidth="1"/>
    <x:col min="4" max="4" width="15.46484375" customWidth="1"/>
    <x:col min="6" max="6" width="13.06640625" customWidth="1"/>
    <x:col min="7" max="7" width="24.1328125" customWidth="1"/>
    <x:col min="11" max="11" width="11.19921875" customWidth="1"/>
    <x:col min="12" max="12" width="17.86328125" customWidth="1"/>
  </x:cols>
  <x:sheetData>
    <x:row r="1">
      <x:c r="A1" s="636" t="s">
        <x:v>45</x:v>
      </x:c>
      <x:c r="B1" s="636"/>
      <x:c r="C1" s="636"/>
      <x:c r="D1" s="636"/>
      <x:c r="E1" s="636"/>
      <x:c r="F1" s="636"/>
      <x:c r="G1" s="636"/>
      <x:c r="H1" s="636"/>
      <x:c r="I1" s="636"/>
      <x:c r="J1" s="636"/>
      <x:c r="K1" s="636"/>
      <x:c r="L1" s="636"/>
      <x:c r="M1" s="636"/>
    </x:row>
    <x:row r="2">
      <x:c r="A2" s="636" t="s">
        <x:v>1</x:v>
      </x:c>
      <x:c r="B2" s="636"/>
      <x:c r="C2" s="636"/>
      <x:c r="D2" s="636"/>
      <x:c r="E2" s="636"/>
      <x:c r="F2" s="636"/>
      <x:c r="G2" s="636"/>
      <x:c r="H2" s="636"/>
      <x:c r="I2" s="636"/>
      <x:c r="J2" s="636"/>
      <x:c r="K2" s="636"/>
      <x:c r="L2" s="636"/>
      <x:c r="M2" s="636"/>
    </x:row>
    <x:row r="3">
      <x:c r="A3" s="636" t="s">
        <x:v>46</x:v>
      </x:c>
      <x:c r="B3" s="636"/>
      <x:c r="C3" s="636"/>
      <x:c r="D3" s="636"/>
      <x:c r="E3" s="636"/>
      <x:c r="F3" s="636"/>
      <x:c r="G3" s="636"/>
      <x:c r="H3" s="636"/>
      <x:c r="I3" s="636"/>
      <x:c r="J3" s="636"/>
      <x:c r="K3" s="636"/>
      <x:c r="L3" s="636"/>
      <x:c r="M3" s="636"/>
    </x:row>
    <x:row r="5">
      <x:c r="A5" s="613" t="s">
        <x:v>47</x:v>
      </x:c>
      <x:c r="B5" s="618" t="s">
        <x:v>48</x:v>
      </x:c>
      <x:c r="C5" s="613" t="s">
        <x:v>49</x:v>
      </x:c>
      <x:c r="D5" s="613" t="s">
        <x:v>50</x:v>
      </x:c>
      <x:c r="E5" s="336" t="s">
        <x:v>51</x:v>
      </x:c>
      <x:c r="F5" s="613" t="s">
        <x:v>52</x:v>
      </x:c>
      <x:c r="G5" s="613" t="s">
        <x:v>53</x:v>
      </x:c>
      <x:c r="H5" s="615" t="s">
        <x:v>54</x:v>
      </x:c>
      <x:c r="I5" s="616"/>
      <x:c r="J5" s="616"/>
      <x:c r="K5" s="617"/>
      <x:c r="L5" s="336" t="s">
        <x:v>55</x:v>
      </x:c>
      <x:c r="M5" s="336" t="s">
        <x:v>56</x:v>
      </x:c>
    </x:row>
    <x:row r="6" ht="18">
      <x:c r="A6" s="614"/>
      <x:c r="B6" s="619"/>
      <x:c r="C6" s="614"/>
      <x:c r="D6" s="614"/>
      <x:c r="E6" s="337">
        <x:v>2026</x:v>
      </x:c>
      <x:c r="F6" s="614"/>
      <x:c r="G6" s="614"/>
      <x:c r="H6" s="337" t="s">
        <x:v>57</x:v>
      </x:c>
      <x:c r="I6" s="337" t="s">
        <x:v>58</x:v>
      </x:c>
      <x:c r="J6" s="337" t="s">
        <x:v>59</x:v>
      </x:c>
      <x:c r="K6" s="337" t="s">
        <x:v>60</x:v>
      </x:c>
      <x:c r="L6" s="337" t="s">
        <x:v>61</x:v>
      </x:c>
      <x:c r="M6" s="337" t="s">
        <x:v>62</x:v>
      </x:c>
    </x:row>
    <x:row r="7" ht="20.100000381469727" customHeight="1">
      <x:c r="A7" s="349">
        <x:v>1</x:v>
      </x:c>
      <x:c r="B7" s="350" t="s">
        <x:v>63</x:v>
      </x:c>
      <x:c r="C7" s="342" t="s">
        <x:v>64</x:v>
      </x:c>
      <x:c r="D7" s="343" t="s">
        <x:v>65</x:v>
      </x:c>
      <x:c r="E7" s="335" t="s">
        <x:v>66</x:v>
      </x:c>
      <x:c r="F7" s="344" t="s">
        <x:v>67</x:v>
      </x:c>
      <x:c r="G7" s="345" t="s">
        <x:v>68</x:v>
      </x:c>
      <x:c r="H7" s="341">
        <x:v>3</x:v>
      </x:c>
      <x:c r="I7" s="341">
        <x:v>3</x:v>
      </x:c>
      <x:c r="J7" s="341">
        <x:v>3</x:v>
      </x:c>
      <x:c r="K7" s="303">
        <x:v>3</x:v>
      </x:c>
      <x:c r="L7" s="341" t="s">
        <x:v>69</x:v>
      </x:c>
      <x:c r="M7" s="341" t="s">
        <x:v>70</x:v>
      </x:c>
    </x:row>
    <x:row r="8" ht="36">
      <x:c r="A8" s="620">
        <x:v>2</x:v>
      </x:c>
      <x:c r="B8" s="351" t="s">
        <x:v>63</x:v>
      </x:c>
      <x:c r="C8" s="623" t="s">
        <x:v>71</x:v>
      </x:c>
      <x:c r="D8" s="334" t="s">
        <x:v>72</x:v>
      </x:c>
      <x:c r="E8" s="346">
        <x:v>3</x:v>
      </x:c>
      <x:c r="F8" s="626" t="s">
        <x:v>67</x:v>
      </x:c>
      <x:c r="G8" s="347" t="s">
        <x:v>73</x:v>
      </x:c>
      <x:c r="H8" s="308">
        <x:v>3</x:v>
      </x:c>
      <x:c r="I8" s="308">
        <x:v>3</x:v>
      </x:c>
      <x:c r="J8" s="308">
        <x:v>3</x:v>
      </x:c>
      <x:c r="K8" s="308">
        <x:v>3</x:v>
      </x:c>
      <x:c r="L8" s="308" t="s">
        <x:v>74</x:v>
      </x:c>
      <x:c r="M8" s="295" t="s">
        <x:v>75</x:v>
      </x:c>
    </x:row>
    <x:row r="9" ht="21" customHeight="1">
      <x:c r="A9" s="621">
        <x:v>3</x:v>
      </x:c>
      <x:c r="B9" s="352" t="s">
        <x:v>63</x:v>
      </x:c>
      <x:c r="C9" s="624" t="s">
        <x:v>76</x:v>
      </x:c>
      <x:c r="D9" s="348" t="s">
        <x:v>77</x:v>
      </x:c>
      <x:c r="E9" s="301">
        <x:v>3</x:v>
      </x:c>
      <x:c r="F9" s="621" t="s">
        <x:v>67</x:v>
      </x:c>
      <x:c r="G9" s="302" t="s">
        <x:v>78</x:v>
      </x:c>
      <x:c r="H9" s="303">
        <x:v>3</x:v>
      </x:c>
      <x:c r="I9" s="303">
        <x:v>3</x:v>
      </x:c>
      <x:c r="J9" s="303">
        <x:v>3.1</x:v>
      </x:c>
      <x:c r="K9" s="303">
        <x:v>3.1</x:v>
      </x:c>
      <x:c r="L9" s="299" t="s">
        <x:v>79</x:v>
      </x:c>
      <x:c r="M9" s="300" t="s">
        <x:v>80</x:v>
      </x:c>
    </x:row>
    <x:row r="10" ht="23.850000381469727" customHeight="1">
      <x:c r="A10" s="621">
        <x:v>4</x:v>
      </x:c>
      <x:c r="B10" s="352" t="s">
        <x:v>81</x:v>
      </x:c>
      <x:c r="C10" s="624" t="s">
        <x:v>82</x:v>
      </x:c>
      <x:c r="D10" s="628" t="s">
        <x:v>83</x:v>
      </x:c>
      <x:c r="E10" s="630">
        <x:v>16</x:v>
      </x:c>
      <x:c r="F10" s="621" t="s">
        <x:v>84</x:v>
      </x:c>
      <x:c r="G10" s="304" t="s">
        <x:v>85</x:v>
      </x:c>
      <x:c r="H10" s="305">
        <x:v>4</x:v>
      </x:c>
      <x:c r="I10" s="303">
        <x:v>4</x:v>
      </x:c>
      <x:c r="J10" s="303">
        <x:v>4</x:v>
      </x:c>
      <x:c r="K10" s="303">
        <x:v>4</x:v>
      </x:c>
      <x:c r="L10" s="299" t="s">
        <x:v>86</x:v>
      </x:c>
      <x:c r="M10" s="300" t="s">
        <x:v>87</x:v>
      </x:c>
    </x:row>
    <x:row r="11" ht="27">
      <x:c r="A11" s="621">
        <x:v>5</x:v>
      </x:c>
      <x:c r="B11" s="352" t="s">
        <x:v>88</x:v>
      </x:c>
      <x:c r="C11" s="624" t="s">
        <x:v>89</x:v>
      </x:c>
      <x:c r="D11" s="624" t="s">
        <x:v>90</x:v>
      </x:c>
      <x:c r="E11" s="621">
        <x:v>85</x:v>
      </x:c>
      <x:c r="F11" s="621" t="s">
        <x:v>84</x:v>
      </x:c>
      <x:c r="G11" s="332" t="s">
        <x:v>91</x:v>
      </x:c>
      <x:c r="H11" s="611">
        <x:v>20</x:v>
      </x:c>
      <x:c r="I11" s="611">
        <x:v>20</x:v>
      </x:c>
      <x:c r="J11" s="611">
        <x:v>22</x:v>
      </x:c>
      <x:c r="K11" s="611">
        <x:v>23</x:v>
      </x:c>
      <x:c r="L11" s="624" t="s">
        <x:v>92</x:v>
      </x:c>
      <x:c r="M11" s="621" t="s">
        <x:v>75</x:v>
      </x:c>
    </x:row>
    <x:row r="12" ht="27">
      <x:c r="A12" s="622">
        <x:v>6</x:v>
      </x:c>
      <x:c r="B12" s="353" t="s">
        <x:v>93</x:v>
      </x:c>
      <x:c r="C12" s="625" t="s">
        <x:v>94</x:v>
      </x:c>
      <x:c r="D12" s="629" t="s">
        <x:v>95</x:v>
      </x:c>
      <x:c r="E12" s="627">
        <x:v>90</x:v>
      </x:c>
      <x:c r="F12" s="627" t="s">
        <x:v>84</x:v>
      </x:c>
      <x:c r="G12" s="332" t="s">
        <x:v>96</x:v>
      </x:c>
      <x:c r="H12" s="612">
        <x:v>22</x:v>
      </x:c>
      <x:c r="I12" s="612">
        <x:v>22</x:v>
      </x:c>
      <x:c r="J12" s="612">
        <x:v>23</x:v>
      </x:c>
      <x:c r="K12" s="612">
        <x:v>23</x:v>
      </x:c>
      <x:c r="L12" s="629" t="s">
        <x:v>97</x:v>
      </x:c>
      <x:c r="M12" s="627" t="s">
        <x:v>98</x:v>
      </x:c>
    </x:row>
    <x:row r="13" ht="36">
      <x:c r="A13" s="298">
        <x:v>7</x:v>
      </x:c>
      <x:c r="B13" s="338" t="s">
        <x:v>99</x:v>
      </x:c>
      <x:c r="C13" s="333" t="s">
        <x:v>100</x:v>
      </x:c>
      <x:c r="D13" s="306" t="s">
        <x:v>101</x:v>
      </x:c>
      <x:c r="E13" s="307">
        <x:v>100</x:v>
      </x:c>
      <x:c r="F13" s="308" t="s">
        <x:v>102</x:v>
      </x:c>
      <x:c r="G13" s="309" t="s">
        <x:v>103</x:v>
      </x:c>
      <x:c r="H13" s="310">
        <x:v>25</x:v>
      </x:c>
      <x:c r="I13" s="311">
        <x:v>25</x:v>
      </x:c>
      <x:c r="J13" s="311">
        <x:v>25</x:v>
      </x:c>
      <x:c r="K13" s="311">
        <x:v>25</x:v>
      </x:c>
      <x:c r="L13" s="309" t="s">
        <x:v>104</x:v>
      </x:c>
      <x:c r="M13" s="296" t="s">
        <x:v>105</x:v>
      </x:c>
    </x:row>
    <x:row r="14" ht="36">
      <x:c r="A14" s="294">
        <x:v>4</x:v>
      </x:c>
      <x:c r="B14" s="339"/>
      <x:c r="C14" s="334" t="s">
        <x:v>106</x:v>
      </x:c>
      <x:c r="D14" s="312" t="s">
        <x:v>107</x:v>
      </x:c>
      <x:c r="E14" s="313">
        <x:v>7.0000000000000007E-2</x:v>
      </x:c>
      <x:c r="F14" s="308" t="s">
        <x:v>67</x:v>
      </x:c>
      <x:c r="G14" s="314" t="s">
        <x:v>108</x:v>
      </x:c>
      <x:c r="H14" s="310"/>
      <x:c r="I14" s="310"/>
      <x:c r="J14" s="310"/>
      <x:c r="K14" s="310"/>
      <x:c r="L14" s="314" t="s">
        <x:v>109</x:v>
      </x:c>
      <x:c r="M14" s="297" t="s">
        <x:v>80</x:v>
      </x:c>
    </x:row>
    <x:row r="15" ht="27">
      <x:c r="A15" s="294">
        <x:v>5</x:v>
      </x:c>
      <x:c r="B15" s="339"/>
      <x:c r="C15" s="356" t="s">
        <x:v>110</x:v>
      </x:c>
      <x:c r="D15" s="315" t="s">
        <x:v>111</x:v>
      </x:c>
      <x:c r="E15" s="300">
        <x:v>18</x:v>
      </x:c>
      <x:c r="F15" s="308" t="s">
        <x:v>84</x:v>
      </x:c>
      <x:c r="G15" s="316" t="s">
        <x:v>112</x:v>
      </x:c>
      <x:c r="H15" s="299"/>
      <x:c r="I15" s="299"/>
      <x:c r="J15" s="299"/>
      <x:c r="K15" s="299"/>
      <x:c r="L15" s="299" t="s">
        <x:v>113</x:v>
      </x:c>
      <x:c r="M15" s="300"/>
    </x:row>
    <x:row r="16">
      <x:c r="A16" s="298"/>
      <x:c r="B16" s="338"/>
      <x:c r="C16" s="357"/>
      <x:c r="D16" s="306"/>
      <x:c r="E16" s="297"/>
      <x:c r="F16" s="314"/>
      <x:c r="G16" s="314" t="s">
        <x:v>114</x:v>
      </x:c>
      <x:c r="H16" s="310"/>
      <x:c r="I16" s="310"/>
      <x:c r="J16" s="310"/>
      <x:c r="K16" s="314"/>
      <x:c r="L16" s="314"/>
      <x:c r="M16" s="297" t="s">
        <x:v>87</x:v>
      </x:c>
    </x:row>
    <x:row r="17" ht="27">
      <x:c r="A17" s="294">
        <x:v>6</x:v>
      </x:c>
      <x:c r="B17" s="339"/>
      <x:c r="C17" s="356" t="s">
        <x:v>115</x:v>
      </x:c>
      <x:c r="D17" s="317" t="s">
        <x:v>116</x:v>
      </x:c>
      <x:c r="E17" s="300" t="s">
        <x:v>117</x:v>
      </x:c>
      <x:c r="F17" s="299" t="s">
        <x:v>84</x:v>
      </x:c>
      <x:c r="G17" s="316" t="s">
        <x:v>112</x:v>
      </x:c>
      <x:c r="H17" s="299"/>
      <x:c r="I17" s="299"/>
      <x:c r="J17" s="299"/>
      <x:c r="K17" s="299"/>
      <x:c r="L17" s="299" t="s">
        <x:v>118</x:v>
      </x:c>
      <x:c r="M17" s="300"/>
    </x:row>
    <x:row r="18">
      <x:c r="A18" s="298"/>
      <x:c r="B18" s="338"/>
      <x:c r="C18" s="358"/>
      <x:c r="D18" s="306"/>
      <x:c r="E18" s="297"/>
      <x:c r="F18" s="299"/>
      <x:c r="G18" s="314" t="s">
        <x:v>119</x:v>
      </x:c>
      <x:c r="H18" s="310"/>
      <x:c r="I18" s="310"/>
      <x:c r="J18" s="310"/>
      <x:c r="K18" s="310"/>
      <x:c r="L18" s="314"/>
      <x:c r="M18" s="297" t="s">
        <x:v>75</x:v>
      </x:c>
    </x:row>
    <x:row r="19" ht="27">
      <x:c r="A19" s="294">
        <x:v>7</x:v>
      </x:c>
      <x:c r="B19" s="339"/>
      <x:c r="C19" s="334" t="s">
        <x:v>120</x:v>
      </x:c>
      <x:c r="D19" s="318" t="s">
        <x:v>121</x:v>
      </x:c>
      <x:c r="E19" s="319">
        <x:v>0.81</x:v>
      </x:c>
      <x:c r="F19" s="308"/>
      <x:c r="G19" s="316" t="s">
        <x:v>112</x:v>
      </x:c>
      <x:c r="H19" s="299"/>
      <x:c r="I19" s="299"/>
      <x:c r="J19" s="299"/>
      <x:c r="K19" s="299"/>
      <x:c r="L19" s="299"/>
      <x:c r="M19" s="300"/>
    </x:row>
    <x:row r="20" ht="27">
      <x:c r="A20" s="298"/>
      <x:c r="B20" s="338"/>
      <x:c r="C20" s="333"/>
      <x:c r="D20" s="320"/>
      <x:c r="E20" s="315"/>
      <x:c r="F20" s="299"/>
      <x:c r="G20" s="302" t="s">
        <x:v>122</x:v>
      </x:c>
      <x:c r="H20" s="299"/>
      <x:c r="I20" s="303"/>
      <x:c r="J20" s="303"/>
      <x:c r="K20" s="303"/>
      <x:c r="L20" s="299" t="s">
        <x:v>123</x:v>
      </x:c>
      <x:c r="M20" s="300" t="s">
        <x:v>75</x:v>
      </x:c>
    </x:row>
    <x:row r="21">
      <x:c r="A21" s="298"/>
      <x:c r="B21" s="338"/>
      <x:c r="C21" s="358"/>
      <x:c r="D21" s="315"/>
      <x:c r="E21" s="300"/>
      <x:c r="F21" s="299"/>
      <x:c r="G21" s="302" t="s">
        <x:v>124</x:v>
      </x:c>
      <x:c r="H21" s="299"/>
      <x:c r="I21" s="303"/>
      <x:c r="J21" s="303"/>
      <x:c r="K21" s="303"/>
      <x:c r="L21" s="299" t="s">
        <x:v>125</x:v>
      </x:c>
      <x:c r="M21" s="300" t="s">
        <x:v>126</x:v>
      </x:c>
    </x:row>
    <x:row r="22">
      <x:c r="A22" s="298"/>
      <x:c r="B22" s="338"/>
      <x:c r="C22" s="358"/>
      <x:c r="D22" s="315"/>
      <x:c r="E22" s="300"/>
      <x:c r="F22" s="299"/>
      <x:c r="G22" s="302" t="s">
        <x:v>127</x:v>
      </x:c>
      <x:c r="H22" s="299"/>
      <x:c r="I22" s="303"/>
      <x:c r="J22" s="303"/>
      <x:c r="K22" s="303"/>
      <x:c r="L22" s="299" t="s">
        <x:v>128</x:v>
      </x:c>
      <x:c r="M22" s="300" t="s">
        <x:v>126</x:v>
      </x:c>
    </x:row>
    <x:row r="23">
      <x:c r="A23" s="298"/>
      <x:c r="B23" s="338"/>
      <x:c r="C23" s="358"/>
      <x:c r="D23" s="315"/>
      <x:c r="E23" s="300"/>
      <x:c r="F23" s="299"/>
      <x:c r="G23" s="321" t="s">
        <x:v>129</x:v>
      </x:c>
      <x:c r="H23" s="299"/>
      <x:c r="I23" s="303"/>
      <x:c r="J23" s="303"/>
      <x:c r="K23" s="303"/>
      <x:c r="L23" s="299" t="s">
        <x:v>130</x:v>
      </x:c>
      <x:c r="M23" s="300" t="s">
        <x:v>126</x:v>
      </x:c>
    </x:row>
    <x:row r="24">
      <x:c r="A24" s="298"/>
      <x:c r="B24" s="338"/>
      <x:c r="C24" s="358"/>
      <x:c r="D24" s="315"/>
      <x:c r="E24" s="300"/>
      <x:c r="F24" s="299"/>
      <x:c r="G24" s="322" t="s">
        <x:v>131</x:v>
      </x:c>
      <x:c r="H24" s="303"/>
      <x:c r="I24" s="299"/>
      <x:c r="J24" s="299"/>
      <x:c r="K24" s="299"/>
      <x:c r="L24" s="299" t="s">
        <x:v>132</x:v>
      </x:c>
      <x:c r="M24" s="300" t="s">
        <x:v>87</x:v>
      </x:c>
    </x:row>
    <x:row r="25" ht="18">
      <x:c r="A25" s="298"/>
      <x:c r="B25" s="338"/>
      <x:c r="C25" s="357"/>
      <x:c r="D25" s="323" t="s">
        <x:v>133</x:v>
      </x:c>
      <x:c r="E25" s="324">
        <x:v>0.71</x:v>
      </x:c>
      <x:c r="F25" s="299"/>
      <x:c r="G25" s="316" t="s">
        <x:v>134</x:v>
      </x:c>
      <x:c r="H25" s="299"/>
      <x:c r="I25" s="299"/>
      <x:c r="J25" s="299"/>
      <x:c r="K25" s="299"/>
      <x:c r="L25" s="299"/>
      <x:c r="M25" s="300"/>
    </x:row>
    <x:row r="26" ht="27">
      <x:c r="A26" s="298"/>
      <x:c r="B26" s="338"/>
      <x:c r="C26" s="357"/>
      <x:c r="D26" s="315"/>
      <x:c r="E26" s="317"/>
      <x:c r="F26" s="299"/>
      <x:c r="G26" s="299" t="s">
        <x:v>135</x:v>
      </x:c>
      <x:c r="H26" s="303"/>
      <x:c r="I26" s="303"/>
      <x:c r="J26" s="303"/>
      <x:c r="K26" s="303"/>
      <x:c r="L26" s="299" t="s">
        <x:v>136</x:v>
      </x:c>
      <x:c r="M26" s="300" t="s">
        <x:v>75</x:v>
      </x:c>
    </x:row>
    <x:row r="27">
      <x:c r="A27" s="325"/>
      <x:c r="B27" s="340"/>
      <x:c r="C27" s="312"/>
      <x:c r="D27" s="312"/>
      <x:c r="E27" s="297"/>
      <x:c r="F27" s="299"/>
      <x:c r="G27" s="327" t="s">
        <x:v>137</x:v>
      </x:c>
      <x:c r="H27" s="299"/>
      <x:c r="I27" s="303"/>
      <x:c r="J27" s="303"/>
      <x:c r="K27" s="303"/>
      <x:c r="L27" s="299" t="s">
        <x:v>138</x:v>
      </x:c>
      <x:c r="M27" s="300" t="s">
        <x:v>75</x:v>
      </x:c>
    </x:row>
    <x:row r="28">
      <x:c r="A28" s="626">
        <x:v>8</x:v>
      </x:c>
      <x:c r="B28" s="354"/>
      <x:c r="C28" s="631" t="s">
        <x:v>139</x:v>
      </x:c>
      <x:c r="D28" s="632" t="s">
        <x:v>140</x:v>
      </x:c>
      <x:c r="E28" s="626" t="s">
        <x:v>141</x:v>
      </x:c>
      <x:c r="F28" s="631" t="s">
        <x:v>102</x:v>
      </x:c>
      <x:c r="G28" s="299" t="s">
        <x:v>142</x:v>
      </x:c>
      <x:c r="H28" s="635"/>
      <x:c r="I28" s="635"/>
      <x:c r="J28" s="635"/>
      <x:c r="K28" s="635"/>
      <x:c r="L28" s="631" t="s">
        <x:v>143</x:v>
      </x:c>
      <x:c r="M28" s="626" t="s">
        <x:v>144</x:v>
      </x:c>
    </x:row>
    <x:row r="29">
      <x:c r="A29" s="621"/>
      <x:c r="B29" s="352"/>
      <x:c r="C29" s="624"/>
      <x:c r="D29" s="633"/>
      <x:c r="E29" s="634"/>
      <x:c r="F29" s="624"/>
      <x:c r="G29" s="314" t="s">
        <x:v>145</x:v>
      </x:c>
      <x:c r="H29" s="612"/>
      <x:c r="I29" s="612"/>
      <x:c r="J29" s="612"/>
      <x:c r="K29" s="612"/>
      <x:c r="L29" s="629"/>
      <x:c r="M29" s="621"/>
    </x:row>
    <x:row r="30" ht="18">
      <x:c r="A30" s="298"/>
      <x:c r="B30" s="352"/>
      <x:c r="C30" s="624"/>
      <x:c r="D30" s="329" t="s">
        <x:v>146</x:v>
      </x:c>
      <x:c r="E30" s="330">
        <x:v>77</x:v>
      </x:c>
      <x:c r="F30" s="624"/>
      <x:c r="G30" s="314" t="s">
        <x:v>147</x:v>
      </x:c>
      <x:c r="H30" s="310"/>
      <x:c r="I30" s="310"/>
      <x:c r="J30" s="310"/>
      <x:c r="K30" s="310"/>
      <x:c r="L30" s="314" t="s">
        <x:v>148</x:v>
      </x:c>
      <x:c r="M30" s="621"/>
    </x:row>
    <x:row r="31">
      <x:c r="A31" s="298"/>
      <x:c r="B31" s="352"/>
      <x:c r="C31" s="624"/>
      <x:c r="D31" s="328"/>
      <x:c r="E31" s="300"/>
      <x:c r="F31" s="624"/>
      <x:c r="G31" s="314" t="s">
        <x:v>149</x:v>
      </x:c>
      <x:c r="H31" s="310"/>
      <x:c r="I31" s="310"/>
      <x:c r="J31" s="310"/>
      <x:c r="K31" s="310"/>
      <x:c r="L31" s="314" t="s">
        <x:v>150</x:v>
      </x:c>
      <x:c r="M31" s="621"/>
    </x:row>
    <x:row r="32">
      <x:c r="A32" s="298"/>
      <x:c r="B32" s="352"/>
      <x:c r="C32" s="624"/>
      <x:c r="D32" s="328"/>
      <x:c r="E32" s="300"/>
      <x:c r="F32" s="624"/>
      <x:c r="G32" s="326" t="s">
        <x:v>151</x:v>
      </x:c>
      <x:c r="H32" s="331"/>
      <x:c r="I32" s="310"/>
      <x:c r="J32" s="310"/>
      <x:c r="K32" s="310"/>
      <x:c r="L32" s="314" t="s">
        <x:v>152</x:v>
      </x:c>
      <x:c r="M32" s="621"/>
    </x:row>
    <x:row r="33" ht="18">
      <x:c r="A33" s="298"/>
      <x:c r="B33" s="352"/>
      <x:c r="C33" s="624"/>
      <x:c r="D33" s="328"/>
      <x:c r="E33" s="300"/>
      <x:c r="F33" s="624"/>
      <x:c r="G33" s="326" t="s">
        <x:v>153</x:v>
      </x:c>
      <x:c r="H33" s="331"/>
      <x:c r="I33" s="310"/>
      <x:c r="J33" s="310"/>
      <x:c r="K33" s="310"/>
      <x:c r="L33" s="314" t="s">
        <x:v>154</x:v>
      </x:c>
      <x:c r="M33" s="621"/>
    </x:row>
    <x:row r="34">
      <x:c r="A34" s="621"/>
      <x:c r="B34" s="352"/>
      <x:c r="C34" s="624"/>
      <x:c r="D34" s="637"/>
      <x:c r="E34" s="621"/>
      <x:c r="F34" s="624"/>
      <x:c r="G34" s="332" t="s">
        <x:v>155</x:v>
      </x:c>
      <x:c r="H34" s="635"/>
      <x:c r="I34" s="635"/>
      <x:c r="J34" s="635"/>
      <x:c r="K34" s="635"/>
      <x:c r="L34" s="631" t="s">
        <x:v>156</x:v>
      </x:c>
      <x:c r="M34" s="621"/>
    </x:row>
    <x:row r="35">
      <x:c r="A35" s="621"/>
      <x:c r="B35" s="352"/>
      <x:c r="C35" s="624"/>
      <x:c r="D35" s="637"/>
      <x:c r="E35" s="621"/>
      <x:c r="F35" s="624"/>
      <x:c r="G35" s="326" t="s">
        <x:v>157</x:v>
      </x:c>
      <x:c r="H35" s="612"/>
      <x:c r="I35" s="612"/>
      <x:c r="J35" s="612"/>
      <x:c r="K35" s="612"/>
      <x:c r="L35" s="629"/>
      <x:c r="M35" s="621"/>
    </x:row>
    <x:row r="36">
      <x:c r="A36" s="621"/>
      <x:c r="B36" s="352"/>
      <x:c r="C36" s="624"/>
      <x:c r="D36" s="624"/>
      <x:c r="E36" s="621"/>
      <x:c r="F36" s="624"/>
      <x:c r="G36" s="299" t="s">
        <x:v>158</x:v>
      </x:c>
      <x:c r="H36" s="635"/>
      <x:c r="I36" s="635"/>
      <x:c r="J36" s="635"/>
      <x:c r="K36" s="635"/>
      <x:c r="L36" s="631" t="s">
        <x:v>159</x:v>
      </x:c>
      <x:c r="M36" s="621"/>
    </x:row>
    <x:row r="37">
      <x:c r="A37" s="627"/>
      <x:c r="B37" s="355"/>
      <x:c r="C37" s="625"/>
      <x:c r="D37" s="629"/>
      <x:c r="E37" s="627"/>
      <x:c r="F37" s="625"/>
      <x:c r="G37" s="314" t="s">
        <x:v>160</x:v>
      </x:c>
      <x:c r="H37" s="612"/>
      <x:c r="I37" s="612"/>
      <x:c r="J37" s="612"/>
      <x:c r="K37" s="612"/>
      <x:c r="L37" s="629"/>
      <x:c r="M37" s="622"/>
    </x:row>
  </x:sheetData>
  <x:mergeCells>
    <x:mergeCell ref="A1:M1"/>
    <x:mergeCell ref="A2:M2"/>
    <x:mergeCell ref="A3:M3"/>
    <x:mergeCell ref="A36:A37"/>
    <x:mergeCell ref="D36:D37"/>
    <x:mergeCell ref="E36:E37"/>
    <x:mergeCell ref="H36:H37"/>
    <x:mergeCell ref="I36:I37"/>
    <x:mergeCell ref="J36:J37"/>
    <x:mergeCell ref="A34:A35"/>
    <x:mergeCell ref="D34:D35"/>
    <x:mergeCell ref="E34:E35"/>
    <x:mergeCell ref="H34:H35"/>
    <x:mergeCell ref="I34:I35"/>
    <x:mergeCell ref="J34:J35"/>
    <x:mergeCell ref="H28:H29"/>
    <x:mergeCell ref="L11:L12"/>
    <x:mergeCell ref="M11:M12"/>
    <x:mergeCell ref="I28:I29"/>
    <x:mergeCell ref="J28:J29"/>
    <x:mergeCell ref="K28:K29"/>
    <x:mergeCell ref="L28:L29"/>
    <x:mergeCell ref="M28:M37"/>
    <x:mergeCell ref="K34:K35"/>
    <x:mergeCell ref="L34:L35"/>
    <x:mergeCell ref="K36:K37"/>
    <x:mergeCell ref="L36:L37"/>
    <x:mergeCell ref="A28:A29"/>
    <x:mergeCell ref="C28:C37"/>
    <x:mergeCell ref="D28:D29"/>
    <x:mergeCell ref="E28:E29"/>
    <x:mergeCell ref="F28:F37"/>
    <x:mergeCell ref="H11:H12"/>
    <x:mergeCell ref="A5:A6"/>
    <x:mergeCell ref="C5:C6"/>
    <x:mergeCell ref="D5:D6"/>
    <x:mergeCell ref="F5:F6"/>
    <x:mergeCell ref="G5:G6"/>
    <x:mergeCell ref="H5:K5"/>
    <x:mergeCell ref="B5:B6"/>
    <x:mergeCell ref="A8:A12"/>
    <x:mergeCell ref="C8:C12"/>
    <x:mergeCell ref="F8:F12"/>
    <x:mergeCell ref="D10:D12"/>
    <x:mergeCell ref="E10:E12"/>
    <x:mergeCell ref="I11:I12"/>
    <x:mergeCell ref="J11:J12"/>
    <x:mergeCell ref="K11:K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8.73046875" customWidth="1"/>
    <x:col min="2" max="2" width="31.53125" customWidth="1"/>
    <x:col min="3" max="3" width="53.33203125" customWidth="1"/>
    <x:col min="4" max="4" width="14" customWidth="1"/>
    <x:col min="5" max="5" width="17" customWidth="1"/>
    <x:col min="6" max="6" width="17.796875" customWidth="1"/>
    <x:col min="7" max="7" width="14.86328125" customWidth="1"/>
    <x:col min="8" max="8" width="29.73046875" customWidth="1"/>
    <x:col min="9" max="25" width="14" customWidth="1"/>
  </x:cols>
  <x:sheetData>
    <x:row r="2" ht="10.899999618530273" customHeight="1">
      <x:c r="A2" s="647" t="s">
        <x:v>161</x:v>
      </x:c>
      <x:c r="B2" s="647"/>
      <x:c r="C2" s="647"/>
      <x:c r="D2" s="647"/>
      <x:c r="E2" s="647"/>
      <x:c r="F2" s="647"/>
      <x:c r="G2" s="648"/>
      <x:c r="H2" s="638" t="s">
        <x:v>162</x:v>
      </x:c>
      <x:c r="I2" s="640" t="s">
        <x:v>163</x:v>
      </x:c>
      <x:c r="J2" s="641"/>
      <x:c r="K2" s="642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8.5">
      <x:c r="A3" s="119" t="s">
        <x:v>47</x:v>
      </x:c>
      <x:c r="B3" s="120" t="s">
        <x:v>164</x:v>
      </x:c>
      <x:c r="C3" s="120" t="s">
        <x:v>165</x:v>
      </x:c>
      <x:c r="D3" s="120" t="s">
        <x:v>11</x:v>
      </x:c>
      <x:c r="E3" s="117" t="s">
        <x:v>166</x:v>
      </x:c>
      <x:c r="F3" s="117" t="s">
        <x:v>167</x:v>
      </x:c>
      <x:c r="G3" s="118" t="s">
        <x:v>168</x:v>
      </x:c>
      <x:c r="H3" s="639"/>
      <x:c r="I3" s="146" t="s">
        <x:v>169</x:v>
      </x:c>
      <x:c r="J3" s="146" t="s">
        <x:v>170</x:v>
      </x:c>
      <x:c r="K3" s="146" t="s">
        <x:v>171</x:v>
      </x:c>
    </x:row>
    <x:row r="4" ht="27">
      <x:c r="A4" s="6">
        <x:v>1</x:v>
      </x:c>
      <x:c r="B4" s="7" t="s">
        <x:v>81</x:v>
      </x:c>
      <x:c r="C4" s="8" t="s">
        <x:v>172</x:v>
      </x:c>
      <x:c r="D4" s="8" t="s">
        <x:v>40</x:v>
      </x:c>
      <x:c r="E4" s="80">
        <x:v>100</x:v>
      </x:c>
      <x:c r="F4" s="80">
        <x:v>100</x:v>
      </x:c>
      <x:c r="G4" s="9">
        <x:v>1</x:v>
      </x:c>
      <x:c r="H4" s="123" t="s">
        <x:v>173</x:v>
      </x:c>
      <x:c r="I4" s="98">
        <x:v>3165978378</x:v>
      </x:c>
      <x:c r="J4" s="98">
        <x:v>2916700050</x:v>
      </x:c>
      <x:c r="K4" s="125">
        <x:v>0.92100000000000004</x:v>
      </x:c>
    </x:row>
    <x:row r="5" ht="54">
      <x:c r="A5" s="643">
        <x:v>2</x:v>
      </x:c>
      <x:c r="B5" s="7" t="s">
        <x:v>174</x:v>
      </x:c>
      <x:c r="C5" s="7" t="s">
        <x:v>175</x:v>
      </x:c>
      <x:c r="D5" s="7" t="s">
        <x:v>40</x:v>
      </x:c>
      <x:c r="E5" s="80">
        <x:v>85</x:v>
      </x:c>
      <x:c r="F5" s="80">
        <x:v>82</x:v>
      </x:c>
      <x:c r="G5" s="1506" t="n">
        <x:f>IF(OR(E5="",F5="",E5=0),"",F5/E5)</x:f>
        <x:v>0.9647058823529412</x:v>
      </x:c>
      <x:c r="H5" s="123" t="s">
        <x:v>173</x:v>
      </x:c>
      <x:c r="I5" s="98">
        <x:v>2814203006</x:v>
      </x:c>
      <x:c r="J5" s="98">
        <x:v>2532782705</x:v>
      </x:c>
      <x:c r="K5" s="1510" t="n">
        <x:f>IF(OR(I5="",J5="",I5=0),"",J5/I5)</x:f>
        <x:v>0.8999999998578638</x:v>
      </x:c>
    </x:row>
    <x:row r="6" ht="21.75" customHeight="1">
      <x:c r="A6" s="644"/>
      <x:c r="B6" s="87"/>
      <x:c r="C6" s="7" t="s">
        <x:v>176</x:v>
      </x:c>
      <x:c r="D6" s="7" t="s">
        <x:v>40</x:v>
      </x:c>
      <x:c r="E6" s="80">
        <x:v>90</x:v>
      </x:c>
      <x:c r="F6" s="81">
        <x:v>86</x:v>
      </x:c>
      <x:c r="G6" s="1506" t="n">
        <x:f>IF(OR(E6="",F6="",E6=0),"",F6/E6)</x:f>
        <x:v>0.9555555555555556</x:v>
      </x:c>
      <x:c r="H6" s="124" t="s">
        <x:v>173</x:v>
      </x:c>
      <x:c r="I6" s="98">
        <x:v>1758876879</x:v>
      </x:c>
      <x:c r="J6" s="98">
        <x:v>1582989188</x:v>
      </x:c>
      <x:c r="K6" s="1510" t="n">
        <x:f>IF(OR(I6="",J6="",I6=0),"",J6/I6)</x:f>
        <x:v>0.8999999982375116</x:v>
      </x:c>
    </x:row>
    <x:row r="7" ht="19.5" customHeight="1">
      <x:c r="A7" s="6">
        <x:v>3</x:v>
      </x:c>
      <x:c r="B7" s="7" t="s">
        <x:v>177</x:v>
      </x:c>
      <x:c r="C7" s="7" t="s">
        <x:v>178</x:v>
      </x:c>
      <x:c r="D7" s="7" t="s">
        <x:v>17</x:v>
      </x:c>
      <x:c r="E7" s="82">
        <x:v>3</x:v>
      </x:c>
      <x:c r="F7" s="83">
        <x:v>3</x:v>
      </x:c>
      <x:c r="G7" s="1506" t="n">
        <x:f>IF(OR(E7="",F7="",E7=0),"",F7/E7)</x:f>
        <x:v>1</x:v>
      </x:c>
      <x:c r="H7" s="90" t="s">
        <x:v>173</x:v>
      </x:c>
      <x:c r="I7" s="98">
        <x:v>2814203006</x:v>
      </x:c>
      <x:c r="J7" s="98">
        <x:v>2476498645</x:v>
      </x:c>
      <x:c r="K7" s="1510" t="n">
        <x:f>IF(OR(I7="",J7="",I7=0),"",J7/I7)</x:f>
        <x:v>0.8799999999005047</x:v>
      </x:c>
    </x:row>
    <x:row r="8" ht="22.5" customHeight="1">
      <x:c r="A8" s="643">
        <x:v>4</x:v>
      </x:c>
      <x:c r="B8" s="646" t="s">
        <x:v>179</x:v>
      </x:c>
      <x:c r="C8" s="7" t="s">
        <x:v>180</x:v>
      </x:c>
      <x:c r="D8" s="7" t="s">
        <x:v>17</x:v>
      </x:c>
      <x:c r="E8" s="82">
        <x:v>3</x:v>
      </x:c>
      <x:c r="F8" s="83">
        <x:v>3</x:v>
      </x:c>
      <x:c r="G8" s="1506" t="n">
        <x:f>IF(OR(E8="",F8="",E8=0),"",F8/E8)</x:f>
        <x:v>1</x:v>
      </x:c>
      <x:c r="H8" s="90" t="s">
        <x:v>173</x:v>
      </x:c>
      <x:c r="I8" s="98">
        <x:v>3517753757</x:v>
      </x:c>
      <x:c r="J8" s="98">
        <x:v>3201175929</x:v>
      </x:c>
      <x:c r="K8" s="1510" t="n">
        <x:f>IF(OR(I8="",J8="",I8=0),"",J8/I8)</x:f>
        <x:v>0.9100056883259552</x:v>
      </x:c>
    </x:row>
    <x:row r="9" ht="14.25" customHeight="1">
      <x:c r="A9" s="645"/>
      <x:c r="B9" s="645"/>
      <x:c r="C9" s="88" t="s">
        <x:v>23</x:v>
      </x:c>
      <x:c r="D9" s="88" t="s">
        <x:v>22</x:v>
      </x:c>
      <x:c r="E9" s="84">
        <x:v>3</x:v>
      </x:c>
      <x:c r="F9" s="85">
        <x:v>3</x:v>
      </x:c>
      <x:c r="G9" s="1507" t="n">
        <x:f>IF(OR(E9="",F9="",E9=0),"",F9/E9)</x:f>
        <x:v>1</x:v>
      </x:c>
      <x:c r="H9" s="123" t="s">
        <x:v>173</x:v>
      </x:c>
      <x:c r="I9" s="98">
        <x:v>1758876879</x:v>
      </x:c>
      <x:c r="J9" s="98">
        <x:v>1590567980</x:v>
      </x:c>
      <x:c r="K9" s="1510" t="n">
        <x:f>IF(OR(I9="",J9="",I9=0),"",J9/I9)</x:f>
        <x:v>0.9043088797120973</x:v>
      </x:c>
    </x:row>
    <x:row r="10" ht="11.649999618530273" customHeight="1">
      <x:c r="A10" s="644"/>
      <x:c r="B10" s="644"/>
      <x:c r="C10" s="89" t="s">
        <x:v>18</x:v>
      </x:c>
      <x:c r="D10" s="89" t="s">
        <x:v>22</x:v>
      </x:c>
      <x:c r="E10" s="84">
        <x:v>3</x:v>
      </x:c>
      <x:c r="F10" s="86">
        <x:v>3</x:v>
      </x:c>
      <x:c r="G10" s="1507" t="n">
        <x:f>IF(OR(E10="",F10="",E10=0),"",F10/E10)</x:f>
        <x:v>1</x:v>
      </x:c>
      <x:c r="H10" s="123" t="s">
        <x:v>173</x:v>
      </x:c>
      <x:c r="I10" s="98">
        <x:v>1758876879</x:v>
      </x:c>
      <x:c r="J10" s="98">
        <x:v>1590567980</x:v>
      </x:c>
      <x:c r="K10" s="1510" t="n">
        <x:f>IF(OR(I10="",J10="",I10=0),"",J10/I10)</x:f>
        <x:v>0.9043088797120973</x:v>
      </x:c>
    </x:row>
    <x:row r="11" ht="40.5">
      <x:c r="A11" s="6">
        <x:v>5</x:v>
      </x:c>
      <x:c r="B11" s="7" t="s">
        <x:v>181</x:v>
      </x:c>
      <x:c r="C11" s="7" t="s">
        <x:v>182</x:v>
      </x:c>
      <x:c r="D11" s="7"/>
      <x:c r="E11" s="80"/>
      <x:c r="F11" s="80"/>
      <x:c r="G11" s="1506"/>
      <x:c r="H11" s="123"/>
      <x:c r="I11" s="98"/>
      <x:c r="J11" s="98"/>
      <x:c r="K11" s="1510"/>
    </x:row>
    <x:row r="13">
      <x:c r="F13" s="4"/>
    </x:row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  <x:row r="1000" ht="7.900000095367432" customHeight="1"/>
    <x:row r="1001" ht="7.900000095367432" customHeight="1"/>
    <x:row r="1002" ht="7.900000095367432" customHeight="1"/>
  </x:sheetData>
  <x:mergeCells>
    <x:mergeCell ref="H2:H3"/>
    <x:mergeCell ref="I2:K2"/>
    <x:mergeCell ref="A5:A6"/>
    <x:mergeCell ref="A8:A10"/>
    <x:mergeCell ref="B8:B10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9.53125" style="93" customWidth="1"/>
    <x:col min="3" max="3" width="45" style="93" customWidth="1"/>
    <x:col min="4" max="4" width="42.1328125" style="93" customWidth="1"/>
    <x:col min="5" max="5" width="14.9296875" style="93" customWidth="1"/>
    <x:col min="6" max="7" width="22.73046875" style="93" customWidth="1"/>
    <x:col min="8" max="10" width="14" style="93" customWidth="1"/>
    <x:col min="11" max="11" width="17.265625" style="93" customWidth="1"/>
    <x:col min="12" max="22" width="14" style="93" customWidth="1"/>
    <x:col min="23" max="16384" width="14.3984375" style="93" customWidth="0"/>
  </x:cols>
  <x:sheetData>
    <x:row r="2" ht="12" customHeight="1">
      <x:c r="A2" s="651" t="s">
        <x:v>183</x:v>
      </x:c>
      <x:c r="B2" s="652"/>
      <x:c r="C2" s="652"/>
      <x:c r="D2" s="652"/>
      <x:c r="E2" s="652"/>
      <x:c r="F2" s="652"/>
      <x:c r="G2" s="652"/>
      <x:c r="H2" s="653"/>
      <x:c r="I2" s="649" t="s">
        <x:v>162</x:v>
      </x:c>
      <x:c r="J2" s="640" t="s">
        <x:v>163</x:v>
      </x:c>
      <x:c r="K2" s="641"/>
      <x:c r="L2" s="642"/>
    </x:row>
    <x:row r="3" ht="11.649999618530273" customHeight="1">
      <x:c r="A3" s="116" t="s">
        <x:v>47</x:v>
      </x:c>
      <x:c r="B3" s="121" t="s">
        <x:v>184</x:v>
      </x:c>
      <x:c r="C3" s="121" t="s">
        <x:v>183</x:v>
      </x:c>
      <x:c r="D3" s="121" t="s">
        <x:v>165</x:v>
      </x:c>
      <x:c r="E3" s="121" t="s">
        <x:v>11</x:v>
      </x:c>
      <x:c r="F3" s="117" t="s">
        <x:v>166</x:v>
      </x:c>
      <x:c r="G3" s="117" t="s">
        <x:v>167</x:v>
      </x:c>
      <x:c r="H3" s="118" t="s">
        <x:v>168</x:v>
      </x:c>
      <x:c r="I3" s="650"/>
      <x:c r="J3" s="146" t="s">
        <x:v>169</x:v>
      </x:c>
      <x:c r="K3" s="146" t="s">
        <x:v>170</x:v>
      </x:c>
      <x:c r="L3" s="146" t="s">
        <x:v>171</x:v>
      </x:c>
    </x:row>
    <x:row r="4" ht="24.75" customHeight="1">
      <x:c r="A4" s="94">
        <x:v>1</x:v>
      </x:c>
      <x:c r="B4" s="95" t="s">
        <x:v>84</x:v>
      </x:c>
      <x:c r="C4" s="95" t="s">
        <x:v>185</x:v>
      </x:c>
      <x:c r="D4" s="95" t="s">
        <x:v>186</x:v>
      </x:c>
      <x:c r="E4" s="95" t="s">
        <x:v>40</x:v>
      </x:c>
      <x:c r="F4" s="96">
        <x:v>100</x:v>
      </x:c>
      <x:c r="G4" s="97">
        <x:v>95</x:v>
      </x:c>
      <x:c r="H4" s="98">
        <x:v>0.95</x:v>
      </x:c>
      <x:c r="I4" s="98" t="s">
        <x:v>173</x:v>
      </x:c>
      <x:c r="J4" s="98">
        <x:v>6800000000</x:v>
      </x:c>
      <x:c r="K4" s="98">
        <x:v>6120000000</x:v>
      </x:c>
      <x:c r="L4" s="125">
        <x:v>0.9</x:v>
      </x:c>
    </x:row>
    <x:row r="5" ht="25.899999618530273" customHeight="1">
      <x:c r="A5" s="94">
        <x:v>2</x:v>
      </x:c>
      <x:c r="B5" s="99" t="s">
        <x:v>187</x:v>
      </x:c>
      <x:c r="C5" s="95" t="s">
        <x:v>188</x:v>
      </x:c>
      <x:c r="D5" s="100" t="s">
        <x:v>189</x:v>
      </x:c>
      <x:c r="E5" s="100" t="s">
        <x:v>40</x:v>
      </x:c>
      <x:c r="F5" s="101">
        <x:v>100</x:v>
      </x:c>
      <x:c r="G5" s="102">
        <x:v>97</x:v>
      </x:c>
      <x:c r="H5" s="1506" t="n">
        <x:f>IF(OR(F5="",G5="",F5=0),"",G5/F5)</x:f>
        <x:v>0.97</x:v>
      </x:c>
      <x:c r="I5" s="98" t="s">
        <x:v>173</x:v>
      </x:c>
      <x:c r="J5" s="98">
        <x:v>1988768787</x:v>
      </x:c>
      <x:c r="K5" s="98">
        <x:v>1771000000</x:v>
      </x:c>
      <x:c r="L5" s="1510" t="n">
        <x:f>IF(OR(J5="",K5="",J5=0),"",K5/J5)</x:f>
        <x:v>0.8905007015277538</x:v>
      </x:c>
    </x:row>
    <x:row r="6" ht="25.5" customHeight="1">
      <x:c r="A6" s="94">
        <x:v>3</x:v>
      </x:c>
      <x:c r="B6" s="103" t="s">
        <x:v>102</x:v>
      </x:c>
      <x:c r="C6" s="104" t="s">
        <x:v>190</x:v>
      </x:c>
      <x:c r="D6" s="105" t="s">
        <x:v>191</x:v>
      </x:c>
      <x:c r="E6" s="105" t="s">
        <x:v>40</x:v>
      </x:c>
      <x:c r="F6" s="97">
        <x:v>100</x:v>
      </x:c>
      <x:c r="G6" s="106">
        <x:v>98</x:v>
      </x:c>
      <x:c r="H6" s="1506" t="n">
        <x:f>IF(OR(F6="",G6="",F6=0),"",G6/F6)</x:f>
        <x:v>0.98</x:v>
      </x:c>
      <x:c r="I6" s="98" t="s">
        <x:v>173</x:v>
      </x:c>
      <x:c r="J6" s="98">
        <x:v>8800000000</x:v>
      </x:c>
      <x:c r="K6" s="98">
        <x:v>8096000000</x:v>
      </x:c>
      <x:c r="L6" s="1510" t="n">
        <x:f>IF(OR(J6="",K6="",J6=0),"",K6/J6)</x:f>
        <x:v>0.92</x:v>
      </x:c>
    </x:row>
    <x:row r="7" ht="23.649999618530273" customHeight="1">
      <x:c r="A7" s="94">
        <x:v>2</x:v>
      </x:c>
      <x:c r="B7" s="95" t="s">
        <x:v>187</x:v>
      </x:c>
      <x:c r="C7" s="95"/>
      <x:c r="D7" s="95"/>
      <x:c r="E7" s="95"/>
      <x:c r="F7" s="107"/>
      <x:c r="G7" s="108"/>
      <x:c r="H7" s="1506"/>
      <x:c r="I7" s="98"/>
      <x:c r="J7" s="98"/>
      <x:c r="K7" s="98"/>
      <x:c r="L7" s="1510"/>
    </x:row>
    <x:row r="8" ht="18" customHeight="1">
      <x:c r="A8" s="94"/>
      <x:c r="B8" s="95"/>
      <x:c r="C8" s="95"/>
      <x:c r="D8" s="109"/>
      <x:c r="E8" s="109"/>
      <x:c r="F8" s="110"/>
      <x:c r="G8" s="111"/>
      <x:c r="H8" s="1506"/>
      <x:c r="I8" s="98"/>
      <x:c r="J8" s="98"/>
      <x:c r="K8" s="98"/>
      <x:c r="L8" s="1510"/>
    </x:row>
    <x:row r="9" ht="16.899999618530273" customHeight="1">
      <x:c r="A9" s="94"/>
      <x:c r="B9" s="95"/>
      <x:c r="C9" s="95"/>
      <x:c r="D9" s="112"/>
      <x:c r="E9" s="112"/>
      <x:c r="F9" s="110"/>
      <x:c r="G9" s="113"/>
      <x:c r="H9" s="1506"/>
      <x:c r="I9" s="98"/>
      <x:c r="J9" s="98"/>
      <x:c r="K9" s="98"/>
      <x:c r="L9" s="1510"/>
    </x:row>
    <x:row r="10" ht="17.850000381469727" customHeight="1">
      <x:c r="A10" s="94"/>
      <x:c r="B10" s="95"/>
      <x:c r="C10" s="95"/>
      <x:c r="D10" s="104"/>
      <x:c r="E10" s="104"/>
      <x:c r="F10" s="97"/>
      <x:c r="G10" s="110"/>
      <x:c r="H10" s="1506"/>
      <x:c r="I10" s="98"/>
      <x:c r="J10" s="98"/>
      <x:c r="K10" s="98"/>
      <x:c r="L10" s="1510"/>
    </x:row>
    <x:row r="11" ht="47.25">
      <x:c r="A11" s="94">
        <x:v>3</x:v>
      </x:c>
      <x:c r="B11" s="95" t="s">
        <x:v>102</x:v>
      </x:c>
      <x:c r="C11" s="114"/>
      <x:c r="D11" s="115"/>
      <x:c r="E11" s="115"/>
      <x:c r="F11" s="110"/>
      <x:c r="G11" s="110"/>
      <x:c r="H11" s="1506"/>
      <x:c r="I11" s="98"/>
      <x:c r="J11" s="98"/>
      <x:c r="K11" s="98"/>
      <x:c r="L11" s="1510"/>
    </x:row>
    <x:row r="12">
      <x:c r="H12" s="1512"/>
      <x:c r="L12" s="1512"/>
    </x:row>
    <x:row r="13">
      <x:c r="F13" s="109" t="s">
        <x:v>192</x:v>
      </x:c>
      <x:c r="H13" s="1512"/>
      <x:c r="L13" s="1512"/>
    </x:row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  <x:row r="1000" ht="7.900000095367432" customHeight="1"/>
  </x:sheetData>
  <x:mergeCells>
    <x:mergeCell ref="I2:I3"/>
    <x:mergeCell ref="J2:L2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5.1328125" style="92" customWidth="1"/>
    <x:col min="2" max="2" width="33.46484375" style="93" customWidth="1"/>
    <x:col min="3" max="3" width="36.06640625" style="93" customWidth="1"/>
    <x:col min="4" max="4" width="34.1328125" style="93" customWidth="1"/>
    <x:col min="5" max="5" width="30.06640625" style="93" customWidth="1"/>
    <x:col min="6" max="6" width="16.86328125" style="93" customWidth="1"/>
    <x:col min="7" max="8" width="22.73046875" style="93" customWidth="1"/>
    <x:col min="9" max="20" width="14" style="93" customWidth="1"/>
    <x:col min="21" max="16384" width="14.3984375" style="93" customWidth="0"/>
  </x:cols>
  <x:sheetData>
    <x:row r="2" ht="12" customHeight="1">
      <x:c r="A2" s="651" t="s">
        <x:v>193</x:v>
      </x:c>
      <x:c r="B2" s="652"/>
      <x:c r="C2" s="652"/>
      <x:c r="D2" s="652"/>
      <x:c r="E2" s="652"/>
      <x:c r="F2" s="652"/>
      <x:c r="G2" s="652"/>
      <x:c r="H2" s="652"/>
      <x:c r="I2" s="653"/>
      <x:c r="J2" s="654" t="s">
        <x:v>162</x:v>
      </x:c>
      <x:c r="K2" s="640" t="s">
        <x:v>163</x:v>
      </x:c>
      <x:c r="L2" s="641"/>
      <x:c r="M2" s="642"/>
    </x:row>
    <x:row r="3" ht="11.649999618530273" customHeight="1">
      <x:c r="A3" s="116" t="s">
        <x:v>47</x:v>
      </x:c>
      <x:c r="B3" s="121" t="s">
        <x:v>184</x:v>
      </x:c>
      <x:c r="C3" s="121" t="s">
        <x:v>194</x:v>
      </x:c>
      <x:c r="D3" s="121" t="s">
        <x:v>193</x:v>
      </x:c>
      <x:c r="E3" s="121" t="s">
        <x:v>165</x:v>
      </x:c>
      <x:c r="F3" s="121" t="s">
        <x:v>11</x:v>
      </x:c>
      <x:c r="G3" s="117" t="s">
        <x:v>166</x:v>
      </x:c>
      <x:c r="H3" s="117" t="s">
        <x:v>167</x:v>
      </x:c>
      <x:c r="I3" s="118" t="s">
        <x:v>168</x:v>
      </x:c>
      <x:c r="J3" s="655"/>
      <x:c r="K3" s="146" t="s">
        <x:v>169</x:v>
      </x:c>
      <x:c r="L3" s="146" t="s">
        <x:v>170</x:v>
      </x:c>
      <x:c r="M3" s="146" t="s">
        <x:v>171</x:v>
      </x:c>
    </x:row>
    <x:row r="4" ht="24.75" customHeight="1">
      <x:c r="A4" s="94">
        <x:v>1</x:v>
      </x:c>
      <x:c r="B4" s="95" t="s">
        <x:v>84</x:v>
      </x:c>
      <x:c r="C4" s="128" t="s">
        <x:v>112</x:v>
      </x:c>
      <x:c r="D4" s="95" t="s">
        <x:v>195</x:v>
      </x:c>
      <x:c r="E4" s="95" t="s">
        <x:v>196</x:v>
      </x:c>
      <x:c r="F4" s="95" t="s">
        <x:v>40</x:v>
      </x:c>
      <x:c r="G4" s="96">
        <x:v>100</x:v>
      </x:c>
      <x:c r="H4" s="97">
        <x:v>95</x:v>
      </x:c>
      <x:c r="I4" s="98">
        <x:v>0.95</x:v>
      </x:c>
      <x:c r="J4" s="125" t="s">
        <x:v>173</x:v>
      </x:c>
      <x:c r="K4" s="98">
        <x:v>4896000000</x:v>
      </x:c>
      <x:c r="L4" s="98">
        <x:v>4406400000</x:v>
      </x:c>
      <x:c r="M4" s="125">
        <x:v>0.9</x:v>
      </x:c>
    </x:row>
    <x:row r="5" ht="25.899999618530273" customHeight="1">
      <x:c r="A5" s="94">
        <x:v>2</x:v>
      </x:c>
      <x:c r="B5" s="99" t="s">
        <x:v>84</x:v>
      </x:c>
      <x:c r="C5" s="129" t="s">
        <x:v>134</x:v>
      </x:c>
      <x:c r="D5" s="95" t="s">
        <x:v>197</x:v>
      </x:c>
      <x:c r="E5" s="100" t="s">
        <x:v>198</x:v>
      </x:c>
      <x:c r="F5" s="100" t="s">
        <x:v>40</x:v>
      </x:c>
      <x:c r="G5" s="101">
        <x:v>100</x:v>
      </x:c>
      <x:c r="H5" s="102">
        <x:v>94</x:v>
      </x:c>
      <x:c r="I5" s="1506" t="n">
        <x:f>IF(OR(G5="",H5="",G5=0),"",H5/G5)</x:f>
        <x:v>0.94</x:v>
      </x:c>
      <x:c r="J5" s="125" t="s">
        <x:v>173</x:v>
      </x:c>
      <x:c r="K5" s="98">
        <x:v>1904000000</x:v>
      </x:c>
      <x:c r="L5" s="98">
        <x:v>1713600000</x:v>
      </x:c>
      <x:c r="M5" s="1510" t="n">
        <x:f>IF(OR(K5="",L5="",K5=0),"",L5/K5)</x:f>
        <x:v>0.9</x:v>
      </x:c>
    </x:row>
    <x:row r="6" ht="23.649999618530273" customHeight="1">
      <x:c r="A6" s="94">
        <x:v>3</x:v>
      </x:c>
      <x:c r="B6" s="95" t="s">
        <x:v>187</x:v>
      </x:c>
      <x:c r="C6" s="128" t="s">
        <x:v>199</x:v>
      </x:c>
      <x:c r="D6" s="95" t="s">
        <x:v>200</x:v>
      </x:c>
      <x:c r="E6" s="95" t="s">
        <x:v>201</x:v>
      </x:c>
      <x:c r="F6" s="95" t="s">
        <x:v>40</x:v>
      </x:c>
      <x:c r="G6" s="107">
        <x:v>100</x:v>
      </x:c>
      <x:c r="H6" s="108">
        <x:v>97</x:v>
      </x:c>
      <x:c r="I6" s="1506" t="n">
        <x:f>IF(OR(G6="",H6="",G6=0),"",H6/G6)</x:f>
        <x:v>0.97</x:v>
      </x:c>
      <x:c r="J6" s="125" t="s">
        <x:v>173</x:v>
      </x:c>
      <x:c r="K6" s="98">
        <x:v>1988768787</x:v>
      </x:c>
      <x:c r="L6" s="98">
        <x:v>1771000000</x:v>
      </x:c>
      <x:c r="M6" s="1510" t="n">
        <x:f>IF(OR(K6="",L6="",K6=0),"",L6/K6)</x:f>
        <x:v>0.8905007015277538</x:v>
      </x:c>
    </x:row>
    <x:row r="7" ht="17.850000381469727" customHeight="1">
      <x:c r="A7" s="94"/>
      <x:c r="B7" s="95"/>
      <x:c r="C7" s="95"/>
      <x:c r="D7" s="95"/>
      <x:c r="E7" s="104"/>
      <x:c r="F7" s="104"/>
      <x:c r="G7" s="97"/>
      <x:c r="H7" s="110"/>
      <x:c r="I7" s="98"/>
      <x:c r="J7" s="125"/>
      <x:c r="K7" s="98"/>
      <x:c r="L7" s="98"/>
      <x:c r="M7" s="125"/>
    </x:row>
    <x:row r="9" s="92" customFormat="1">
      <x:c r="B9" s="93"/>
      <x:c r="C9" s="93"/>
      <x:c r="D9" s="93"/>
      <x:c r="E9" s="93"/>
      <x:c r="F9" s="93"/>
      <x:c r="G9" s="93"/>
      <x:c r="H9" s="93"/>
      <x:c r="I9" s="93"/>
      <x:c r="J9" s="93"/>
    </x:row>
    <x:row r="10" s="92" customFormat="1">
      <x:c r="B10" s="93"/>
      <x:c r="C10" s="93"/>
      <x:c r="D10" s="93"/>
      <x:c r="E10" s="93"/>
      <x:c r="F10" s="93"/>
      <x:c r="G10" s="93"/>
      <x:c r="H10" s="93"/>
      <x:c r="I10" s="93"/>
      <x:c r="J10" s="93"/>
    </x:row>
    <x:row r="11" s="92" customFormat="1">
      <x:c r="B11" s="93"/>
      <x:c r="C11" s="93"/>
      <x:c r="D11" s="93"/>
      <x:c r="E11" s="93"/>
      <x:c r="F11" s="93"/>
      <x:c r="G11" s="93"/>
      <x:c r="H11" s="93"/>
      <x:c r="I11" s="93"/>
      <x:c r="J11" s="93"/>
    </x:row>
    <x:row r="12" s="92" customFormat="1">
      <x:c r="B12" s="93"/>
      <x:c r="C12" s="93"/>
      <x:c r="D12" s="93"/>
      <x:c r="E12" s="93"/>
      <x:c r="F12" s="93"/>
      <x:c r="G12" s="93"/>
      <x:c r="H12" s="93"/>
      <x:c r="I12" s="93"/>
      <x:c r="J12" s="93"/>
    </x:row>
    <x:row r="13" s="92" customFormat="1" ht="7.900000095367432" customHeight="1">
      <x:c r="B13" s="93"/>
      <x:c r="C13" s="93"/>
      <x:c r="D13" s="93"/>
      <x:c r="E13" s="93"/>
      <x:c r="F13" s="93"/>
      <x:c r="G13" s="93"/>
      <x:c r="H13" s="93"/>
      <x:c r="I13" s="93"/>
      <x:c r="J13" s="93"/>
    </x:row>
    <x:row r="14" s="92" customFormat="1" ht="7.900000095367432" customHeight="1">
      <x:c r="B14" s="93"/>
      <x:c r="C14" s="93"/>
      <x:c r="D14" s="93"/>
      <x:c r="E14" s="93"/>
      <x:c r="F14" s="93"/>
      <x:c r="G14" s="93"/>
      <x:c r="H14" s="93"/>
      <x:c r="I14" s="93"/>
      <x:c r="J14" s="93"/>
    </x:row>
    <x:row r="15" s="92" customFormat="1" ht="7.900000095367432" customHeight="1">
      <x:c r="B15" s="93"/>
      <x:c r="C15" s="93"/>
      <x:c r="D15" s="93"/>
      <x:c r="E15" s="93"/>
      <x:c r="F15" s="93"/>
      <x:c r="G15" s="93"/>
      <x:c r="H15" s="93"/>
      <x:c r="I15" s="93"/>
      <x:c r="J15" s="93"/>
    </x:row>
    <x:row r="16" s="92" customFormat="1" ht="7.900000095367432" customHeight="1">
      <x:c r="B16" s="93"/>
      <x:c r="C16" s="93"/>
      <x:c r="D16" s="93"/>
      <x:c r="E16" s="93"/>
      <x:c r="F16" s="93"/>
      <x:c r="G16" s="93"/>
      <x:c r="H16" s="93"/>
      <x:c r="I16" s="93"/>
      <x:c r="J16" s="93"/>
    </x:row>
    <x:row r="17" s="92" customFormat="1" ht="7.900000095367432" customHeight="1">
      <x:c r="B17" s="93"/>
      <x:c r="C17" s="93"/>
      <x:c r="D17" s="93"/>
      <x:c r="E17" s="93"/>
      <x:c r="F17" s="93"/>
      <x:c r="G17" s="93"/>
      <x:c r="H17" s="93"/>
      <x:c r="I17" s="93"/>
      <x:c r="J17" s="93"/>
    </x:row>
    <x:row r="18" s="92" customFormat="1" ht="7.900000095367432" customHeight="1">
      <x:c r="B18" s="93"/>
      <x:c r="C18" s="93"/>
      <x:c r="D18" s="93"/>
      <x:c r="E18" s="93"/>
      <x:c r="F18" s="93"/>
      <x:c r="G18" s="93"/>
      <x:c r="H18" s="93"/>
      <x:c r="I18" s="93"/>
      <x:c r="J18" s="93"/>
    </x:row>
    <x:row r="19" s="92" customFormat="1" ht="7.900000095367432" customHeight="1">
      <x:c r="B19" s="93"/>
      <x:c r="C19" s="93"/>
      <x:c r="D19" s="93"/>
      <x:c r="E19" s="93"/>
      <x:c r="F19" s="93"/>
      <x:c r="G19" s="93"/>
      <x:c r="H19" s="93"/>
      <x:c r="I19" s="93"/>
      <x:c r="J19" s="93"/>
    </x:row>
    <x:row r="20" s="92" customFormat="1" ht="7.900000095367432" customHeight="1">
      <x:c r="B20" s="93"/>
      <x:c r="C20" s="93"/>
      <x:c r="D20" s="93"/>
      <x:c r="E20" s="93"/>
      <x:c r="F20" s="93"/>
      <x:c r="G20" s="93"/>
      <x:c r="H20" s="93"/>
      <x:c r="I20" s="93"/>
      <x:c r="J20" s="93"/>
    </x:row>
    <x:row r="21" s="92" customFormat="1" ht="7.900000095367432" customHeight="1">
      <x:c r="B21" s="93"/>
      <x:c r="C21" s="93"/>
      <x:c r="D21" s="93"/>
      <x:c r="E21" s="93"/>
      <x:c r="F21" s="93"/>
      <x:c r="G21" s="93"/>
      <x:c r="H21" s="93"/>
      <x:c r="I21" s="93"/>
      <x:c r="J21" s="93"/>
    </x:row>
    <x:row r="22" s="92" customFormat="1" ht="7.900000095367432" customHeight="1">
      <x:c r="B22" s="93"/>
      <x:c r="C22" s="93"/>
      <x:c r="D22" s="93"/>
      <x:c r="E22" s="93"/>
      <x:c r="F22" s="93"/>
      <x:c r="G22" s="93"/>
      <x:c r="H22" s="93"/>
      <x:c r="I22" s="93"/>
      <x:c r="J22" s="93"/>
    </x:row>
    <x:row r="23" s="92" customFormat="1" ht="7.900000095367432" customHeight="1">
      <x:c r="B23" s="93"/>
      <x:c r="C23" s="93"/>
      <x:c r="D23" s="93"/>
      <x:c r="E23" s="93"/>
      <x:c r="F23" s="93"/>
      <x:c r="G23" s="93"/>
      <x:c r="H23" s="93"/>
      <x:c r="I23" s="93"/>
      <x:c r="J23" s="93"/>
    </x:row>
    <x:row r="24" s="92" customFormat="1" ht="7.900000095367432" customHeight="1">
      <x:c r="B24" s="93"/>
      <x:c r="C24" s="93"/>
      <x:c r="D24" s="93"/>
      <x:c r="E24" s="93"/>
      <x:c r="F24" s="93"/>
      <x:c r="G24" s="93"/>
      <x:c r="H24" s="93"/>
      <x:c r="I24" s="93"/>
      <x:c r="J24" s="93"/>
    </x:row>
    <x:row r="25" s="92" customFormat="1" ht="7.900000095367432" customHeight="1"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 s="92" customFormat="1" ht="7.900000095367432" customHeight="1">
      <x:c r="B26" s="93"/>
      <x:c r="C26" s="93"/>
      <x:c r="D26" s="93"/>
      <x:c r="E26" s="93"/>
      <x:c r="F26" s="93"/>
      <x:c r="G26" s="93"/>
      <x:c r="H26" s="93"/>
      <x:c r="I26" s="93"/>
      <x:c r="J26" s="93"/>
    </x:row>
    <x:row r="27" s="92" customFormat="1" ht="7.900000095367432" customHeight="1">
      <x:c r="B27" s="93"/>
      <x:c r="C27" s="93"/>
      <x:c r="D27" s="93"/>
      <x:c r="E27" s="93"/>
      <x:c r="F27" s="93"/>
      <x:c r="G27" s="93"/>
      <x:c r="H27" s="93"/>
      <x:c r="I27" s="93"/>
      <x:c r="J27" s="93"/>
    </x:row>
    <x:row r="28" s="92" customFormat="1" ht="7.900000095367432" customHeight="1"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 s="92" customFormat="1" ht="7.900000095367432" customHeight="1">
      <x:c r="B29" s="93"/>
      <x:c r="C29" s="93"/>
      <x:c r="D29" s="93"/>
      <x:c r="E29" s="93"/>
      <x:c r="F29" s="93"/>
      <x:c r="G29" s="93"/>
      <x:c r="H29" s="93"/>
      <x:c r="I29" s="93"/>
      <x:c r="J29" s="93"/>
    </x:row>
    <x:row r="30" s="92" customFormat="1" ht="7.900000095367432" customHeight="1">
      <x:c r="B30" s="93"/>
      <x:c r="C30" s="93"/>
      <x:c r="D30" s="93"/>
      <x:c r="E30" s="93"/>
      <x:c r="F30" s="93"/>
      <x:c r="G30" s="93"/>
      <x:c r="H30" s="93"/>
      <x:c r="I30" s="93"/>
      <x:c r="J30" s="93"/>
    </x:row>
    <x:row r="31" s="92" customFormat="1" ht="7.900000095367432" customHeight="1">
      <x:c r="B31" s="93"/>
      <x:c r="C31" s="93"/>
      <x:c r="D31" s="93"/>
      <x:c r="E31" s="93"/>
      <x:c r="F31" s="93"/>
      <x:c r="G31" s="93"/>
      <x:c r="H31" s="93"/>
      <x:c r="I31" s="93"/>
      <x:c r="J31" s="93"/>
    </x:row>
    <x:row r="32" s="92" customFormat="1" ht="7.900000095367432" customHeight="1">
      <x:c r="B32" s="93"/>
      <x:c r="C32" s="93"/>
      <x:c r="D32" s="93"/>
      <x:c r="E32" s="93"/>
      <x:c r="F32" s="93"/>
      <x:c r="G32" s="93"/>
      <x:c r="H32" s="93"/>
      <x:c r="I32" s="93"/>
      <x:c r="J32" s="93"/>
    </x:row>
    <x:row r="33" s="92" customFormat="1" ht="7.900000095367432" customHeight="1">
      <x:c r="B33" s="93"/>
      <x:c r="C33" s="93"/>
      <x:c r="D33" s="93"/>
      <x:c r="E33" s="93"/>
      <x:c r="F33" s="93"/>
      <x:c r="G33" s="93"/>
      <x:c r="H33" s="93"/>
      <x:c r="I33" s="93"/>
      <x:c r="J33" s="93"/>
    </x:row>
    <x:row r="34" s="92" customFormat="1" ht="7.900000095367432" customHeight="1">
      <x:c r="B34" s="93"/>
      <x:c r="C34" s="93"/>
      <x:c r="D34" s="93"/>
      <x:c r="E34" s="93"/>
      <x:c r="F34" s="93"/>
      <x:c r="G34" s="93"/>
      <x:c r="H34" s="93"/>
      <x:c r="I34" s="93"/>
      <x:c r="J34" s="93"/>
    </x:row>
    <x:row r="35" s="92" customFormat="1" ht="7.900000095367432" customHeight="1">
      <x:c r="B35" s="93"/>
      <x:c r="C35" s="93"/>
      <x:c r="D35" s="93"/>
      <x:c r="E35" s="93"/>
      <x:c r="F35" s="93"/>
      <x:c r="G35" s="93"/>
      <x:c r="H35" s="93"/>
      <x:c r="I35" s="93"/>
      <x:c r="J35" s="93"/>
    </x:row>
    <x:row r="36" s="92" customFormat="1" ht="7.900000095367432" customHeight="1">
      <x:c r="B36" s="93"/>
      <x:c r="C36" s="93"/>
      <x:c r="D36" s="93"/>
      <x:c r="E36" s="93"/>
      <x:c r="F36" s="93"/>
      <x:c r="G36" s="93"/>
      <x:c r="H36" s="93"/>
      <x:c r="I36" s="93"/>
      <x:c r="J36" s="93"/>
    </x:row>
    <x:row r="37" s="92" customFormat="1" ht="7.900000095367432" customHeight="1">
      <x:c r="B37" s="93"/>
      <x:c r="C37" s="93"/>
      <x:c r="D37" s="93"/>
      <x:c r="E37" s="93"/>
      <x:c r="F37" s="93"/>
      <x:c r="G37" s="93"/>
      <x:c r="H37" s="93"/>
      <x:c r="I37" s="93"/>
      <x:c r="J37" s="93"/>
    </x:row>
    <x:row r="38" s="92" customFormat="1" ht="7.900000095367432" customHeight="1">
      <x:c r="B38" s="93"/>
      <x:c r="C38" s="93"/>
      <x:c r="D38" s="93"/>
      <x:c r="E38" s="93"/>
      <x:c r="F38" s="93"/>
      <x:c r="G38" s="93"/>
      <x:c r="H38" s="93"/>
      <x:c r="I38" s="93"/>
      <x:c r="J38" s="93"/>
    </x:row>
    <x:row r="39" s="92" customFormat="1" ht="7.900000095367432" customHeight="1">
      <x:c r="B39" s="93"/>
      <x:c r="C39" s="93"/>
      <x:c r="D39" s="93"/>
      <x:c r="E39" s="93"/>
      <x:c r="F39" s="93"/>
      <x:c r="G39" s="93"/>
      <x:c r="H39" s="93"/>
      <x:c r="I39" s="93"/>
      <x:c r="J39" s="93"/>
    </x:row>
    <x:row r="40" s="92" customFormat="1" ht="7.900000095367432" customHeight="1">
      <x:c r="B40" s="93"/>
      <x:c r="C40" s="93"/>
      <x:c r="D40" s="93"/>
      <x:c r="E40" s="93"/>
      <x:c r="F40" s="93"/>
      <x:c r="G40" s="93"/>
      <x:c r="H40" s="93"/>
      <x:c r="I40" s="93"/>
      <x:c r="J40" s="93"/>
    </x:row>
    <x:row r="41" s="92" customFormat="1" ht="7.900000095367432" customHeight="1">
      <x:c r="B41" s="93"/>
      <x:c r="C41" s="93"/>
      <x:c r="D41" s="93"/>
      <x:c r="E41" s="93"/>
      <x:c r="F41" s="93"/>
      <x:c r="G41" s="93"/>
      <x:c r="H41" s="93"/>
      <x:c r="I41" s="93"/>
      <x:c r="J41" s="93"/>
    </x:row>
    <x:row r="42" s="92" customFormat="1" ht="7.900000095367432" customHeight="1">
      <x:c r="B42" s="93"/>
      <x:c r="C42" s="93"/>
      <x:c r="D42" s="93"/>
      <x:c r="E42" s="93"/>
      <x:c r="F42" s="93"/>
      <x:c r="G42" s="93"/>
      <x:c r="H42" s="93"/>
      <x:c r="I42" s="93"/>
      <x:c r="J42" s="93"/>
    </x:row>
    <x:row r="43" s="92" customFormat="1" ht="7.900000095367432" customHeight="1">
      <x:c r="B43" s="93"/>
      <x:c r="C43" s="93"/>
      <x:c r="D43" s="93"/>
      <x:c r="E43" s="93"/>
      <x:c r="F43" s="93"/>
      <x:c r="G43" s="93"/>
      <x:c r="H43" s="93"/>
      <x:c r="I43" s="93"/>
      <x:c r="J43" s="93"/>
    </x:row>
    <x:row r="44" s="92" customFormat="1" ht="7.900000095367432" customHeight="1">
      <x:c r="B44" s="93"/>
      <x:c r="C44" s="93"/>
      <x:c r="D44" s="93"/>
      <x:c r="E44" s="93"/>
      <x:c r="F44" s="93"/>
      <x:c r="G44" s="93"/>
      <x:c r="H44" s="93"/>
      <x:c r="I44" s="93"/>
      <x:c r="J44" s="93"/>
    </x:row>
    <x:row r="45" s="92" customFormat="1" ht="7.900000095367432" customHeight="1">
      <x:c r="B45" s="93"/>
      <x:c r="C45" s="93"/>
      <x:c r="D45" s="93"/>
      <x:c r="E45" s="93"/>
      <x:c r="F45" s="93"/>
      <x:c r="G45" s="93"/>
      <x:c r="H45" s="93"/>
      <x:c r="I45" s="93"/>
      <x:c r="J45" s="93"/>
    </x:row>
    <x:row r="46" s="92" customFormat="1" ht="7.900000095367432" customHeight="1">
      <x:c r="B46" s="93"/>
      <x:c r="C46" s="93"/>
      <x:c r="D46" s="93"/>
      <x:c r="E46" s="93"/>
      <x:c r="F46" s="93"/>
      <x:c r="G46" s="93"/>
      <x:c r="H46" s="93"/>
      <x:c r="I46" s="93"/>
      <x:c r="J46" s="93"/>
    </x:row>
    <x:row r="47" s="92" customFormat="1" ht="7.900000095367432" customHeight="1">
      <x:c r="B47" s="93"/>
      <x:c r="C47" s="93"/>
      <x:c r="D47" s="93"/>
      <x:c r="E47" s="93"/>
      <x:c r="F47" s="93"/>
      <x:c r="G47" s="93"/>
      <x:c r="H47" s="93"/>
      <x:c r="I47" s="93"/>
      <x:c r="J47" s="93"/>
    </x:row>
    <x:row r="48" s="92" customFormat="1" ht="7.900000095367432" customHeight="1">
      <x:c r="B48" s="93"/>
      <x:c r="C48" s="93"/>
      <x:c r="D48" s="93"/>
      <x:c r="E48" s="93"/>
      <x:c r="F48" s="93"/>
      <x:c r="G48" s="93"/>
      <x:c r="H48" s="93"/>
      <x:c r="I48" s="93"/>
      <x:c r="J48" s="93"/>
    </x:row>
    <x:row r="49" s="92" customFormat="1" ht="7.900000095367432" customHeight="1">
      <x:c r="B49" s="93"/>
      <x:c r="C49" s="93"/>
      <x:c r="D49" s="93"/>
      <x:c r="E49" s="93"/>
      <x:c r="F49" s="93"/>
      <x:c r="G49" s="93"/>
      <x:c r="H49" s="93"/>
      <x:c r="I49" s="93"/>
      <x:c r="J49" s="93"/>
    </x:row>
    <x:row r="50" s="92" customFormat="1" ht="7.900000095367432" customHeight="1">
      <x:c r="B50" s="93"/>
      <x:c r="C50" s="93"/>
      <x:c r="D50" s="93"/>
      <x:c r="E50" s="93"/>
      <x:c r="F50" s="93"/>
      <x:c r="G50" s="93"/>
      <x:c r="H50" s="93"/>
      <x:c r="I50" s="93"/>
      <x:c r="J50" s="93"/>
    </x:row>
    <x:row r="51" s="92" customFormat="1" ht="7.900000095367432" customHeight="1">
      <x:c r="B51" s="93"/>
      <x:c r="C51" s="93"/>
      <x:c r="D51" s="93"/>
      <x:c r="E51" s="93"/>
      <x:c r="F51" s="93"/>
      <x:c r="G51" s="93"/>
      <x:c r="H51" s="93"/>
      <x:c r="I51" s="93"/>
      <x:c r="J51" s="93"/>
    </x:row>
    <x:row r="52" s="92" customFormat="1" ht="7.900000095367432" customHeight="1">
      <x:c r="B52" s="93"/>
      <x:c r="C52" s="93"/>
      <x:c r="D52" s="93"/>
      <x:c r="E52" s="93"/>
      <x:c r="F52" s="93"/>
      <x:c r="G52" s="93"/>
      <x:c r="H52" s="93"/>
      <x:c r="I52" s="93"/>
      <x:c r="J52" s="93"/>
    </x:row>
    <x:row r="53" s="92" customFormat="1" ht="7.900000095367432" customHeight="1">
      <x:c r="B53" s="93"/>
      <x:c r="C53" s="93"/>
      <x:c r="D53" s="93"/>
      <x:c r="E53" s="93"/>
      <x:c r="F53" s="93"/>
      <x:c r="G53" s="93"/>
      <x:c r="H53" s="93"/>
      <x:c r="I53" s="93"/>
      <x:c r="J53" s="93"/>
    </x:row>
    <x:row r="54" s="92" customFormat="1" ht="7.900000095367432" customHeight="1">
      <x:c r="B54" s="93"/>
      <x:c r="C54" s="93"/>
      <x:c r="D54" s="93"/>
      <x:c r="E54" s="93"/>
      <x:c r="F54" s="93"/>
      <x:c r="G54" s="93"/>
      <x:c r="H54" s="93"/>
      <x:c r="I54" s="93"/>
      <x:c r="J54" s="93"/>
    </x:row>
    <x:row r="55" s="92" customFormat="1" ht="7.900000095367432" customHeight="1">
      <x:c r="B55" s="93"/>
      <x:c r="C55" s="93"/>
      <x:c r="D55" s="93"/>
      <x:c r="E55" s="93"/>
      <x:c r="F55" s="93"/>
      <x:c r="G55" s="93"/>
      <x:c r="H55" s="93"/>
      <x:c r="I55" s="93"/>
      <x:c r="J55" s="93"/>
    </x:row>
    <x:row r="56" s="92" customFormat="1" ht="7.900000095367432" customHeight="1">
      <x:c r="B56" s="93"/>
      <x:c r="C56" s="93"/>
      <x:c r="D56" s="93"/>
      <x:c r="E56" s="93"/>
      <x:c r="F56" s="93"/>
      <x:c r="G56" s="93"/>
      <x:c r="H56" s="93"/>
      <x:c r="I56" s="93"/>
      <x:c r="J56" s="93"/>
    </x:row>
    <x:row r="57" s="92" customFormat="1" ht="7.900000095367432" customHeight="1">
      <x:c r="B57" s="93"/>
      <x:c r="C57" s="93"/>
      <x:c r="D57" s="93"/>
      <x:c r="E57" s="93"/>
      <x:c r="F57" s="93"/>
      <x:c r="G57" s="93"/>
      <x:c r="H57" s="93"/>
      <x:c r="I57" s="93"/>
      <x:c r="J57" s="93"/>
    </x:row>
    <x:row r="58" s="92" customFormat="1" ht="7.900000095367432" customHeight="1">
      <x:c r="B58" s="93"/>
      <x:c r="C58" s="93"/>
      <x:c r="D58" s="93"/>
      <x:c r="E58" s="93"/>
      <x:c r="F58" s="93"/>
      <x:c r="G58" s="93"/>
      <x:c r="H58" s="93"/>
      <x:c r="I58" s="93"/>
      <x:c r="J58" s="93"/>
    </x:row>
    <x:row r="59" s="92" customFormat="1" ht="7.900000095367432" customHeight="1">
      <x:c r="B59" s="93"/>
      <x:c r="C59" s="93"/>
      <x:c r="D59" s="93"/>
      <x:c r="E59" s="93"/>
      <x:c r="F59" s="93"/>
      <x:c r="G59" s="93"/>
      <x:c r="H59" s="93"/>
      <x:c r="I59" s="93"/>
      <x:c r="J59" s="93"/>
    </x:row>
    <x:row r="60" s="92" customFormat="1" ht="7.900000095367432" customHeight="1">
      <x:c r="B60" s="93"/>
      <x:c r="C60" s="93"/>
      <x:c r="D60" s="93"/>
      <x:c r="E60" s="93"/>
      <x:c r="F60" s="93"/>
      <x:c r="G60" s="93"/>
      <x:c r="H60" s="93"/>
      <x:c r="I60" s="93"/>
      <x:c r="J60" s="93"/>
    </x:row>
    <x:row r="61" s="92" customFormat="1" ht="7.900000095367432" customHeight="1">
      <x:c r="B61" s="93"/>
      <x:c r="C61" s="93"/>
      <x:c r="D61" s="93"/>
      <x:c r="E61" s="93"/>
      <x:c r="F61" s="93"/>
      <x:c r="G61" s="93"/>
      <x:c r="H61" s="93"/>
      <x:c r="I61" s="93"/>
      <x:c r="J61" s="93"/>
    </x:row>
    <x:row r="62" s="92" customFormat="1" ht="7.900000095367432" customHeight="1">
      <x:c r="B62" s="93"/>
      <x:c r="C62" s="93"/>
      <x:c r="D62" s="93"/>
      <x:c r="E62" s="93"/>
      <x:c r="F62" s="93"/>
      <x:c r="G62" s="93"/>
      <x:c r="H62" s="93"/>
      <x:c r="I62" s="93"/>
      <x:c r="J62" s="93"/>
    </x:row>
    <x:row r="63" s="92" customFormat="1" ht="7.900000095367432" customHeight="1">
      <x:c r="B63" s="93"/>
      <x:c r="C63" s="93"/>
      <x:c r="D63" s="93"/>
      <x:c r="E63" s="93"/>
      <x:c r="F63" s="93"/>
      <x:c r="G63" s="93"/>
      <x:c r="H63" s="93"/>
      <x:c r="I63" s="93"/>
      <x:c r="J63" s="93"/>
    </x:row>
    <x:row r="64" s="92" customFormat="1" ht="7.900000095367432" customHeight="1">
      <x:c r="B64" s="93"/>
      <x:c r="C64" s="93"/>
      <x:c r="D64" s="93"/>
      <x:c r="E64" s="93"/>
      <x:c r="F64" s="93"/>
      <x:c r="G64" s="93"/>
      <x:c r="H64" s="93"/>
      <x:c r="I64" s="93"/>
      <x:c r="J64" s="93"/>
    </x:row>
    <x:row r="65" s="92" customFormat="1" ht="7.900000095367432" customHeight="1">
      <x:c r="B65" s="93"/>
      <x:c r="C65" s="93"/>
      <x:c r="D65" s="93"/>
      <x:c r="E65" s="93"/>
      <x:c r="F65" s="93"/>
      <x:c r="G65" s="93"/>
      <x:c r="H65" s="93"/>
      <x:c r="I65" s="93"/>
      <x:c r="J65" s="93"/>
    </x:row>
    <x:row r="66" s="92" customFormat="1" ht="7.900000095367432" customHeight="1">
      <x:c r="B66" s="93"/>
      <x:c r="C66" s="93"/>
      <x:c r="D66" s="93"/>
      <x:c r="E66" s="93"/>
      <x:c r="F66" s="93"/>
      <x:c r="G66" s="93"/>
      <x:c r="H66" s="93"/>
      <x:c r="I66" s="93"/>
      <x:c r="J66" s="93"/>
    </x:row>
    <x:row r="67" s="92" customFormat="1" ht="7.900000095367432" customHeight="1">
      <x:c r="B67" s="93"/>
      <x:c r="C67" s="93"/>
      <x:c r="D67" s="93"/>
      <x:c r="E67" s="93"/>
      <x:c r="F67" s="93"/>
      <x:c r="G67" s="93"/>
      <x:c r="H67" s="93"/>
      <x:c r="I67" s="93"/>
      <x:c r="J67" s="93"/>
    </x:row>
    <x:row r="68" s="92" customFormat="1" ht="7.900000095367432" customHeight="1">
      <x:c r="B68" s="93"/>
      <x:c r="C68" s="93"/>
      <x:c r="D68" s="93"/>
      <x:c r="E68" s="93"/>
      <x:c r="F68" s="93"/>
      <x:c r="G68" s="93"/>
      <x:c r="H68" s="93"/>
      <x:c r="I68" s="93"/>
      <x:c r="J68" s="93"/>
    </x:row>
    <x:row r="69" s="92" customFormat="1" ht="7.900000095367432" customHeight="1">
      <x:c r="B69" s="93"/>
      <x:c r="C69" s="93"/>
      <x:c r="D69" s="93"/>
      <x:c r="E69" s="93"/>
      <x:c r="F69" s="93"/>
      <x:c r="G69" s="93"/>
      <x:c r="H69" s="93"/>
      <x:c r="I69" s="93"/>
      <x:c r="J69" s="93"/>
    </x:row>
    <x:row r="70" s="92" customFormat="1" ht="7.900000095367432" customHeight="1">
      <x:c r="B70" s="93"/>
      <x:c r="C70" s="93"/>
      <x:c r="D70" s="93"/>
      <x:c r="E70" s="93"/>
      <x:c r="F70" s="93"/>
      <x:c r="G70" s="93"/>
      <x:c r="H70" s="93"/>
      <x:c r="I70" s="93"/>
      <x:c r="J70" s="93"/>
    </x:row>
    <x:row r="71" s="92" customFormat="1" ht="7.900000095367432" customHeight="1">
      <x:c r="B71" s="93"/>
      <x:c r="C71" s="93"/>
      <x:c r="D71" s="93"/>
      <x:c r="E71" s="93"/>
      <x:c r="F71" s="93"/>
      <x:c r="G71" s="93"/>
      <x:c r="H71" s="93"/>
      <x:c r="I71" s="93"/>
      <x:c r="J71" s="93"/>
    </x:row>
    <x:row r="72" s="92" customFormat="1" ht="7.900000095367432" customHeight="1">
      <x:c r="B72" s="93"/>
      <x:c r="C72" s="93"/>
      <x:c r="D72" s="93"/>
      <x:c r="E72" s="93"/>
      <x:c r="F72" s="93"/>
      <x:c r="G72" s="93"/>
      <x:c r="H72" s="93"/>
      <x:c r="I72" s="93"/>
      <x:c r="J72" s="93"/>
    </x:row>
    <x:row r="73" s="92" customFormat="1" ht="7.900000095367432" customHeight="1">
      <x:c r="B73" s="93"/>
      <x:c r="C73" s="93"/>
      <x:c r="D73" s="93"/>
      <x:c r="E73" s="93"/>
      <x:c r="F73" s="93"/>
      <x:c r="G73" s="93"/>
      <x:c r="H73" s="93"/>
      <x:c r="I73" s="93"/>
      <x:c r="J73" s="93"/>
    </x:row>
    <x:row r="74" s="92" customFormat="1" ht="7.900000095367432" customHeight="1">
      <x:c r="B74" s="93"/>
      <x:c r="C74" s="93"/>
      <x:c r="D74" s="93"/>
      <x:c r="E74" s="93"/>
      <x:c r="F74" s="93"/>
      <x:c r="G74" s="93"/>
      <x:c r="H74" s="93"/>
      <x:c r="I74" s="93"/>
      <x:c r="J74" s="93"/>
    </x:row>
    <x:row r="75" s="92" customFormat="1" ht="7.900000095367432" customHeight="1">
      <x:c r="B75" s="93"/>
      <x:c r="C75" s="93"/>
      <x:c r="D75" s="93"/>
      <x:c r="E75" s="93"/>
      <x:c r="F75" s="93"/>
      <x:c r="G75" s="93"/>
      <x:c r="H75" s="93"/>
      <x:c r="I75" s="93"/>
      <x:c r="J75" s="93"/>
    </x:row>
    <x:row r="76" s="92" customFormat="1" ht="7.900000095367432" customHeight="1">
      <x:c r="B76" s="93"/>
      <x:c r="C76" s="93"/>
      <x:c r="D76" s="93"/>
      <x:c r="E76" s="93"/>
      <x:c r="F76" s="93"/>
      <x:c r="G76" s="93"/>
      <x:c r="H76" s="93"/>
      <x:c r="I76" s="93"/>
      <x:c r="J76" s="93"/>
    </x:row>
    <x:row r="77" s="92" customFormat="1" ht="7.900000095367432" customHeight="1">
      <x:c r="B77" s="93"/>
      <x:c r="C77" s="93"/>
      <x:c r="D77" s="93"/>
      <x:c r="E77" s="93"/>
      <x:c r="F77" s="93"/>
      <x:c r="G77" s="93"/>
      <x:c r="H77" s="93"/>
      <x:c r="I77" s="93"/>
      <x:c r="J77" s="93"/>
    </x:row>
    <x:row r="78" s="92" customFormat="1" ht="7.900000095367432" customHeight="1">
      <x:c r="B78" s="93"/>
      <x:c r="C78" s="93"/>
      <x:c r="D78" s="93"/>
      <x:c r="E78" s="93"/>
      <x:c r="F78" s="93"/>
      <x:c r="G78" s="93"/>
      <x:c r="H78" s="93"/>
      <x:c r="I78" s="93"/>
      <x:c r="J78" s="93"/>
    </x:row>
    <x:row r="79" s="92" customFormat="1" ht="7.900000095367432" customHeight="1">
      <x:c r="B79" s="93"/>
      <x:c r="C79" s="93"/>
      <x:c r="D79" s="93"/>
      <x:c r="E79" s="93"/>
      <x:c r="F79" s="93"/>
      <x:c r="G79" s="93"/>
      <x:c r="H79" s="93"/>
      <x:c r="I79" s="93"/>
      <x:c r="J79" s="93"/>
    </x:row>
    <x:row r="80" s="92" customFormat="1" ht="7.900000095367432" customHeight="1">
      <x:c r="B80" s="93"/>
      <x:c r="C80" s="93"/>
      <x:c r="D80" s="93"/>
      <x:c r="E80" s="93"/>
      <x:c r="F80" s="93"/>
      <x:c r="G80" s="93"/>
      <x:c r="H80" s="93"/>
      <x:c r="I80" s="93"/>
      <x:c r="J80" s="93"/>
    </x:row>
    <x:row r="81" s="92" customFormat="1" ht="7.900000095367432" customHeight="1">
      <x:c r="B81" s="93"/>
      <x:c r="C81" s="93"/>
      <x:c r="D81" s="93"/>
      <x:c r="E81" s="93"/>
      <x:c r="F81" s="93"/>
      <x:c r="G81" s="93"/>
      <x:c r="H81" s="93"/>
      <x:c r="I81" s="93"/>
      <x:c r="J81" s="93"/>
    </x:row>
    <x:row r="82" s="92" customFormat="1" ht="7.900000095367432" customHeight="1">
      <x:c r="B82" s="93"/>
      <x:c r="C82" s="93"/>
      <x:c r="D82" s="93"/>
      <x:c r="E82" s="93"/>
      <x:c r="F82" s="93"/>
      <x:c r="G82" s="93"/>
      <x:c r="H82" s="93"/>
      <x:c r="I82" s="93"/>
      <x:c r="J82" s="93"/>
    </x:row>
    <x:row r="83" s="92" customFormat="1" ht="7.900000095367432" customHeight="1">
      <x:c r="B83" s="93"/>
      <x:c r="C83" s="93"/>
      <x:c r="D83" s="93"/>
      <x:c r="E83" s="93"/>
      <x:c r="F83" s="93"/>
      <x:c r="G83" s="93"/>
      <x:c r="H83" s="93"/>
      <x:c r="I83" s="93"/>
      <x:c r="J83" s="93"/>
    </x:row>
    <x:row r="84" s="92" customFormat="1" ht="7.900000095367432" customHeight="1">
      <x:c r="B84" s="93"/>
      <x:c r="C84" s="93"/>
      <x:c r="D84" s="93"/>
      <x:c r="E84" s="93"/>
      <x:c r="F84" s="93"/>
      <x:c r="G84" s="93"/>
      <x:c r="H84" s="93"/>
      <x:c r="I84" s="93"/>
      <x:c r="J84" s="93"/>
    </x:row>
    <x:row r="85" s="92" customFormat="1" ht="7.900000095367432" customHeight="1">
      <x:c r="B85" s="93"/>
      <x:c r="C85" s="93"/>
      <x:c r="D85" s="93"/>
      <x:c r="E85" s="93"/>
      <x:c r="F85" s="93"/>
      <x:c r="G85" s="93"/>
      <x:c r="H85" s="93"/>
      <x:c r="I85" s="93"/>
      <x:c r="J85" s="93"/>
    </x:row>
    <x:row r="86" s="92" customFormat="1" ht="7.900000095367432" customHeight="1">
      <x:c r="B86" s="93"/>
      <x:c r="C86" s="93"/>
      <x:c r="D86" s="93"/>
      <x:c r="E86" s="93"/>
      <x:c r="F86" s="93"/>
      <x:c r="G86" s="93"/>
      <x:c r="H86" s="93"/>
      <x:c r="I86" s="93"/>
      <x:c r="J86" s="93"/>
    </x:row>
    <x:row r="87" s="92" customFormat="1" ht="7.900000095367432" customHeight="1">
      <x:c r="B87" s="93"/>
      <x:c r="C87" s="93"/>
      <x:c r="D87" s="93"/>
      <x:c r="E87" s="93"/>
      <x:c r="F87" s="93"/>
      <x:c r="G87" s="93"/>
      <x:c r="H87" s="93"/>
      <x:c r="I87" s="93"/>
      <x:c r="J87" s="93"/>
    </x:row>
    <x:row r="88" s="92" customFormat="1" ht="7.900000095367432" customHeight="1">
      <x:c r="B88" s="93"/>
      <x:c r="C88" s="93"/>
      <x:c r="D88" s="93"/>
      <x:c r="E88" s="93"/>
      <x:c r="F88" s="93"/>
      <x:c r="G88" s="93"/>
      <x:c r="H88" s="93"/>
      <x:c r="I88" s="93"/>
      <x:c r="J88" s="93"/>
    </x:row>
    <x:row r="89" s="92" customFormat="1" ht="7.900000095367432" customHeight="1">
      <x:c r="B89" s="93"/>
      <x:c r="C89" s="93"/>
      <x:c r="D89" s="93"/>
      <x:c r="E89" s="93"/>
      <x:c r="F89" s="93"/>
      <x:c r="G89" s="93"/>
      <x:c r="H89" s="93"/>
      <x:c r="I89" s="93"/>
      <x:c r="J89" s="93"/>
    </x:row>
    <x:row r="90" s="92" customFormat="1" ht="7.900000095367432" customHeight="1">
      <x:c r="B90" s="93"/>
      <x:c r="C90" s="93"/>
      <x:c r="D90" s="93"/>
      <x:c r="E90" s="93"/>
      <x:c r="F90" s="93"/>
      <x:c r="G90" s="93"/>
      <x:c r="H90" s="93"/>
      <x:c r="I90" s="93"/>
      <x:c r="J90" s="93"/>
    </x:row>
    <x:row r="91" s="92" customFormat="1" ht="7.900000095367432" customHeight="1">
      <x:c r="B91" s="93"/>
      <x:c r="C91" s="93"/>
      <x:c r="D91" s="93"/>
      <x:c r="E91" s="93"/>
      <x:c r="F91" s="93"/>
      <x:c r="G91" s="93"/>
      <x:c r="H91" s="93"/>
      <x:c r="I91" s="93"/>
      <x:c r="J91" s="93"/>
    </x:row>
    <x:row r="92" s="92" customFormat="1" ht="7.900000095367432" customHeight="1">
      <x:c r="B92" s="93"/>
      <x:c r="C92" s="93"/>
      <x:c r="D92" s="93"/>
      <x:c r="E92" s="93"/>
      <x:c r="F92" s="93"/>
      <x:c r="G92" s="93"/>
      <x:c r="H92" s="93"/>
      <x:c r="I92" s="93"/>
      <x:c r="J92" s="93"/>
    </x:row>
    <x:row r="93" s="92" customFormat="1" ht="7.900000095367432" customHeight="1">
      <x:c r="B93" s="93"/>
      <x:c r="C93" s="93"/>
      <x:c r="D93" s="93"/>
      <x:c r="E93" s="93"/>
      <x:c r="F93" s="93"/>
      <x:c r="G93" s="93"/>
      <x:c r="H93" s="93"/>
      <x:c r="I93" s="93"/>
      <x:c r="J93" s="93"/>
    </x:row>
    <x:row r="94" s="92" customFormat="1" ht="7.900000095367432" customHeight="1">
      <x:c r="B94" s="93"/>
      <x:c r="C94" s="93"/>
      <x:c r="D94" s="93"/>
      <x:c r="E94" s="93"/>
      <x:c r="F94" s="93"/>
      <x:c r="G94" s="93"/>
      <x:c r="H94" s="93"/>
      <x:c r="I94" s="93"/>
      <x:c r="J94" s="93"/>
    </x:row>
    <x:row r="95" s="92" customFormat="1" ht="7.900000095367432" customHeight="1">
      <x:c r="B95" s="93"/>
      <x:c r="C95" s="93"/>
      <x:c r="D95" s="93"/>
      <x:c r="E95" s="93"/>
      <x:c r="F95" s="93"/>
      <x:c r="G95" s="93"/>
      <x:c r="H95" s="93"/>
      <x:c r="I95" s="93"/>
      <x:c r="J95" s="93"/>
    </x:row>
    <x:row r="96" s="92" customFormat="1" ht="7.900000095367432" customHeight="1">
      <x:c r="B96" s="93"/>
      <x:c r="C96" s="93"/>
      <x:c r="D96" s="93"/>
      <x:c r="E96" s="93"/>
      <x:c r="F96" s="93"/>
      <x:c r="G96" s="93"/>
      <x:c r="H96" s="93"/>
      <x:c r="I96" s="93"/>
      <x:c r="J96" s="93"/>
    </x:row>
    <x:row r="97" s="92" customFormat="1" ht="7.900000095367432" customHeight="1">
      <x:c r="B97" s="93"/>
      <x:c r="C97" s="93"/>
      <x:c r="D97" s="93"/>
      <x:c r="E97" s="93"/>
      <x:c r="F97" s="93"/>
      <x:c r="G97" s="93"/>
      <x:c r="H97" s="93"/>
      <x:c r="I97" s="93"/>
      <x:c r="J97" s="93"/>
    </x:row>
    <x:row r="98" s="92" customFormat="1" ht="7.900000095367432" customHeight="1">
      <x:c r="B98" s="93"/>
      <x:c r="C98" s="93"/>
      <x:c r="D98" s="93"/>
      <x:c r="E98" s="93"/>
      <x:c r="F98" s="93"/>
      <x:c r="G98" s="93"/>
      <x:c r="H98" s="93"/>
      <x:c r="I98" s="93"/>
      <x:c r="J98" s="93"/>
    </x:row>
    <x:row r="99" s="92" customFormat="1" ht="7.900000095367432" customHeight="1">
      <x:c r="B99" s="93"/>
      <x:c r="C99" s="93"/>
      <x:c r="D99" s="93"/>
      <x:c r="E99" s="93"/>
      <x:c r="F99" s="93"/>
      <x:c r="G99" s="93"/>
      <x:c r="H99" s="93"/>
      <x:c r="I99" s="93"/>
      <x:c r="J99" s="93"/>
    </x:row>
    <x:row r="100" s="92" customFormat="1" ht="7.900000095367432" customHeight="1">
      <x:c r="B100" s="93"/>
      <x:c r="C100" s="93"/>
      <x:c r="D100" s="93"/>
      <x:c r="E100" s="93"/>
      <x:c r="F100" s="93"/>
      <x:c r="G100" s="93"/>
      <x:c r="H100" s="93"/>
      <x:c r="I100" s="93"/>
      <x:c r="J100" s="93"/>
    </x:row>
    <x:row r="101" s="92" customFormat="1" ht="7.900000095367432" customHeight="1">
      <x:c r="B101" s="93"/>
      <x:c r="C101" s="93"/>
      <x:c r="D101" s="93"/>
      <x:c r="E101" s="93"/>
      <x:c r="F101" s="93"/>
      <x:c r="G101" s="93"/>
      <x:c r="H101" s="93"/>
      <x:c r="I101" s="93"/>
      <x:c r="J101" s="93"/>
    </x:row>
    <x:row r="102" s="92" customFormat="1" ht="7.900000095367432" customHeight="1">
      <x:c r="B102" s="93"/>
      <x:c r="C102" s="93"/>
      <x:c r="D102" s="93"/>
      <x:c r="E102" s="93"/>
      <x:c r="F102" s="93"/>
      <x:c r="G102" s="93"/>
      <x:c r="H102" s="93"/>
      <x:c r="I102" s="93"/>
      <x:c r="J102" s="93"/>
    </x:row>
    <x:row r="103" s="92" customFormat="1" ht="7.900000095367432" customHeight="1">
      <x:c r="B103" s="93"/>
      <x:c r="C103" s="93"/>
      <x:c r="D103" s="93"/>
      <x:c r="E103" s="93"/>
      <x:c r="F103" s="93"/>
      <x:c r="G103" s="93"/>
      <x:c r="H103" s="93"/>
      <x:c r="I103" s="93"/>
      <x:c r="J103" s="93"/>
    </x:row>
    <x:row r="104" s="92" customFormat="1" ht="7.900000095367432" customHeight="1">
      <x:c r="B104" s="93"/>
      <x:c r="C104" s="93"/>
      <x:c r="D104" s="93"/>
      <x:c r="E104" s="93"/>
      <x:c r="F104" s="93"/>
      <x:c r="G104" s="93"/>
      <x:c r="H104" s="93"/>
      <x:c r="I104" s="93"/>
      <x:c r="J104" s="93"/>
    </x:row>
    <x:row r="105" s="92" customFormat="1" ht="7.900000095367432" customHeight="1">
      <x:c r="B105" s="93"/>
      <x:c r="C105" s="93"/>
      <x:c r="D105" s="93"/>
      <x:c r="E105" s="93"/>
      <x:c r="F105" s="93"/>
      <x:c r="G105" s="93"/>
      <x:c r="H105" s="93"/>
      <x:c r="I105" s="93"/>
      <x:c r="J105" s="93"/>
    </x:row>
    <x:row r="106" s="92" customFormat="1" ht="7.900000095367432" customHeight="1">
      <x:c r="B106" s="93"/>
      <x:c r="C106" s="93"/>
      <x:c r="D106" s="93"/>
      <x:c r="E106" s="93"/>
      <x:c r="F106" s="93"/>
      <x:c r="G106" s="93"/>
      <x:c r="H106" s="93"/>
      <x:c r="I106" s="93"/>
      <x:c r="J106" s="93"/>
    </x:row>
    <x:row r="107" s="92" customFormat="1" ht="7.900000095367432" customHeight="1">
      <x:c r="B107" s="93"/>
      <x:c r="C107" s="93"/>
      <x:c r="D107" s="93"/>
      <x:c r="E107" s="93"/>
      <x:c r="F107" s="93"/>
      <x:c r="G107" s="93"/>
      <x:c r="H107" s="93"/>
      <x:c r="I107" s="93"/>
      <x:c r="J107" s="93"/>
    </x:row>
    <x:row r="108" s="92" customFormat="1" ht="7.900000095367432" customHeight="1">
      <x:c r="B108" s="93"/>
      <x:c r="C108" s="93"/>
      <x:c r="D108" s="93"/>
      <x:c r="E108" s="93"/>
      <x:c r="F108" s="93"/>
      <x:c r="G108" s="93"/>
      <x:c r="H108" s="93"/>
      <x:c r="I108" s="93"/>
      <x:c r="J108" s="93"/>
    </x:row>
    <x:row r="109" s="92" customFormat="1" ht="7.900000095367432" customHeight="1">
      <x:c r="B109" s="93"/>
      <x:c r="C109" s="93"/>
      <x:c r="D109" s="93"/>
      <x:c r="E109" s="93"/>
      <x:c r="F109" s="93"/>
      <x:c r="G109" s="93"/>
      <x:c r="H109" s="93"/>
      <x:c r="I109" s="93"/>
      <x:c r="J109" s="93"/>
    </x:row>
    <x:row r="110" s="92" customFormat="1" ht="7.900000095367432" customHeight="1">
      <x:c r="B110" s="93"/>
      <x:c r="C110" s="93"/>
      <x:c r="D110" s="93"/>
      <x:c r="E110" s="93"/>
      <x:c r="F110" s="93"/>
      <x:c r="G110" s="93"/>
      <x:c r="H110" s="93"/>
      <x:c r="I110" s="93"/>
      <x:c r="J110" s="93"/>
    </x:row>
    <x:row r="111" s="92" customFormat="1" ht="7.900000095367432" customHeight="1">
      <x:c r="B111" s="93"/>
      <x:c r="C111" s="93"/>
      <x:c r="D111" s="93"/>
      <x:c r="E111" s="93"/>
      <x:c r="F111" s="93"/>
      <x:c r="G111" s="93"/>
      <x:c r="H111" s="93"/>
      <x:c r="I111" s="93"/>
      <x:c r="J111" s="93"/>
    </x:row>
    <x:row r="112" s="92" customFormat="1" ht="7.900000095367432" customHeight="1">
      <x:c r="B112" s="93"/>
      <x:c r="C112" s="93"/>
      <x:c r="D112" s="93"/>
      <x:c r="E112" s="93"/>
      <x:c r="F112" s="93"/>
      <x:c r="G112" s="93"/>
      <x:c r="H112" s="93"/>
      <x:c r="I112" s="93"/>
      <x:c r="J112" s="93"/>
    </x:row>
    <x:row r="113" s="92" customFormat="1" ht="7.900000095367432" customHeight="1">
      <x:c r="B113" s="93"/>
      <x:c r="C113" s="93"/>
      <x:c r="D113" s="93"/>
      <x:c r="E113" s="93"/>
      <x:c r="F113" s="93"/>
      <x:c r="G113" s="93"/>
      <x:c r="H113" s="93"/>
      <x:c r="I113" s="93"/>
      <x:c r="J113" s="93"/>
    </x:row>
    <x:row r="114" s="92" customFormat="1" ht="7.900000095367432" customHeight="1">
      <x:c r="B114" s="93"/>
      <x:c r="C114" s="93"/>
      <x:c r="D114" s="93"/>
      <x:c r="E114" s="93"/>
      <x:c r="F114" s="93"/>
      <x:c r="G114" s="93"/>
      <x:c r="H114" s="93"/>
      <x:c r="I114" s="93"/>
      <x:c r="J114" s="93"/>
    </x:row>
    <x:row r="115" s="92" customFormat="1" ht="7.900000095367432" customHeight="1">
      <x:c r="B115" s="93"/>
      <x:c r="C115" s="93"/>
      <x:c r="D115" s="93"/>
      <x:c r="E115" s="93"/>
      <x:c r="F115" s="93"/>
      <x:c r="G115" s="93"/>
      <x:c r="H115" s="93"/>
      <x:c r="I115" s="93"/>
      <x:c r="J115" s="93"/>
    </x:row>
    <x:row r="116" s="92" customFormat="1" ht="7.900000095367432" customHeight="1">
      <x:c r="B116" s="93"/>
      <x:c r="C116" s="93"/>
      <x:c r="D116" s="93"/>
      <x:c r="E116" s="93"/>
      <x:c r="F116" s="93"/>
      <x:c r="G116" s="93"/>
      <x:c r="H116" s="93"/>
      <x:c r="I116" s="93"/>
      <x:c r="J116" s="93"/>
    </x:row>
    <x:row r="117" s="92" customFormat="1" ht="7.900000095367432" customHeight="1">
      <x:c r="B117" s="93"/>
      <x:c r="C117" s="93"/>
      <x:c r="D117" s="93"/>
      <x:c r="E117" s="93"/>
      <x:c r="F117" s="93"/>
      <x:c r="G117" s="93"/>
      <x:c r="H117" s="93"/>
      <x:c r="I117" s="93"/>
      <x:c r="J117" s="93"/>
    </x:row>
    <x:row r="118" s="92" customFormat="1" ht="7.900000095367432" customHeight="1">
      <x:c r="B118" s="93"/>
      <x:c r="C118" s="93"/>
      <x:c r="D118" s="93"/>
      <x:c r="E118" s="93"/>
      <x:c r="F118" s="93"/>
      <x:c r="G118" s="93"/>
      <x:c r="H118" s="93"/>
      <x:c r="I118" s="93"/>
      <x:c r="J118" s="93"/>
    </x:row>
    <x:row r="119" s="92" customFormat="1" ht="7.900000095367432" customHeight="1">
      <x:c r="B119" s="93"/>
      <x:c r="C119" s="93"/>
      <x:c r="D119" s="93"/>
      <x:c r="E119" s="93"/>
      <x:c r="F119" s="93"/>
      <x:c r="G119" s="93"/>
      <x:c r="H119" s="93"/>
      <x:c r="I119" s="93"/>
      <x:c r="J119" s="93"/>
    </x:row>
    <x:row r="120" s="92" customFormat="1" ht="7.900000095367432" customHeight="1">
      <x:c r="B120" s="93"/>
      <x:c r="C120" s="93"/>
      <x:c r="D120" s="93"/>
      <x:c r="E120" s="93"/>
      <x:c r="F120" s="93"/>
      <x:c r="G120" s="93"/>
      <x:c r="H120" s="93"/>
      <x:c r="I120" s="93"/>
      <x:c r="J120" s="93"/>
    </x:row>
    <x:row r="121" s="92" customFormat="1" ht="7.900000095367432" customHeight="1">
      <x:c r="B121" s="93"/>
      <x:c r="C121" s="93"/>
      <x:c r="D121" s="93"/>
      <x:c r="E121" s="93"/>
      <x:c r="F121" s="93"/>
      <x:c r="G121" s="93"/>
      <x:c r="H121" s="93"/>
      <x:c r="I121" s="93"/>
      <x:c r="J121" s="93"/>
    </x:row>
    <x:row r="122" s="92" customFormat="1" ht="7.900000095367432" customHeight="1">
      <x:c r="B122" s="93"/>
      <x:c r="C122" s="93"/>
      <x:c r="D122" s="93"/>
      <x:c r="E122" s="93"/>
      <x:c r="F122" s="93"/>
      <x:c r="G122" s="93"/>
      <x:c r="H122" s="93"/>
      <x:c r="I122" s="93"/>
      <x:c r="J122" s="93"/>
    </x:row>
    <x:row r="123" s="92" customFormat="1" ht="7.900000095367432" customHeight="1">
      <x:c r="B123" s="93"/>
      <x:c r="C123" s="93"/>
      <x:c r="D123" s="93"/>
      <x:c r="E123" s="93"/>
      <x:c r="F123" s="93"/>
      <x:c r="G123" s="93"/>
      <x:c r="H123" s="93"/>
      <x:c r="I123" s="93"/>
      <x:c r="J123" s="93"/>
    </x:row>
    <x:row r="124" s="92" customFormat="1" ht="7.900000095367432" customHeight="1">
      <x:c r="B124" s="93"/>
      <x:c r="C124" s="93"/>
      <x:c r="D124" s="93"/>
      <x:c r="E124" s="93"/>
      <x:c r="F124" s="93"/>
      <x:c r="G124" s="93"/>
      <x:c r="H124" s="93"/>
      <x:c r="I124" s="93"/>
      <x:c r="J124" s="93"/>
    </x:row>
    <x:row r="125" s="92" customFormat="1" ht="7.900000095367432" customHeight="1">
      <x:c r="B125" s="93"/>
      <x:c r="C125" s="93"/>
      <x:c r="D125" s="93"/>
      <x:c r="E125" s="93"/>
      <x:c r="F125" s="93"/>
      <x:c r="G125" s="93"/>
      <x:c r="H125" s="93"/>
      <x:c r="I125" s="93"/>
      <x:c r="J125" s="93"/>
    </x:row>
    <x:row r="126" s="92" customFormat="1" ht="7.900000095367432" customHeight="1">
      <x:c r="B126" s="93"/>
      <x:c r="C126" s="93"/>
      <x:c r="D126" s="93"/>
      <x:c r="E126" s="93"/>
      <x:c r="F126" s="93"/>
      <x:c r="G126" s="93"/>
      <x:c r="H126" s="93"/>
      <x:c r="I126" s="93"/>
      <x:c r="J126" s="93"/>
    </x:row>
    <x:row r="127" s="92" customFormat="1" ht="7.900000095367432" customHeight="1">
      <x:c r="B127" s="93"/>
      <x:c r="C127" s="93"/>
      <x:c r="D127" s="93"/>
      <x:c r="E127" s="93"/>
      <x:c r="F127" s="93"/>
      <x:c r="G127" s="93"/>
      <x:c r="H127" s="93"/>
      <x:c r="I127" s="93"/>
      <x:c r="J127" s="93"/>
    </x:row>
    <x:row r="128" s="92" customFormat="1" ht="7.900000095367432" customHeight="1">
      <x:c r="B128" s="93"/>
      <x:c r="C128" s="93"/>
      <x:c r="D128" s="93"/>
      <x:c r="E128" s="93"/>
      <x:c r="F128" s="93"/>
      <x:c r="G128" s="93"/>
      <x:c r="H128" s="93"/>
      <x:c r="I128" s="93"/>
      <x:c r="J128" s="93"/>
    </x:row>
    <x:row r="129" s="92" customFormat="1" ht="7.900000095367432" customHeight="1">
      <x:c r="B129" s="93"/>
      <x:c r="C129" s="93"/>
      <x:c r="D129" s="93"/>
      <x:c r="E129" s="93"/>
      <x:c r="F129" s="93"/>
      <x:c r="G129" s="93"/>
      <x:c r="H129" s="93"/>
      <x:c r="I129" s="93"/>
      <x:c r="J129" s="93"/>
    </x:row>
    <x:row r="130" s="92" customFormat="1" ht="7.900000095367432" customHeight="1">
      <x:c r="B130" s="93"/>
      <x:c r="C130" s="93"/>
      <x:c r="D130" s="93"/>
      <x:c r="E130" s="93"/>
      <x:c r="F130" s="93"/>
      <x:c r="G130" s="93"/>
      <x:c r="H130" s="93"/>
      <x:c r="I130" s="93"/>
      <x:c r="J130" s="93"/>
    </x:row>
    <x:row r="131" s="92" customFormat="1" ht="7.900000095367432" customHeight="1">
      <x:c r="B131" s="93"/>
      <x:c r="C131" s="93"/>
      <x:c r="D131" s="93"/>
      <x:c r="E131" s="93"/>
      <x:c r="F131" s="93"/>
      <x:c r="G131" s="93"/>
      <x:c r="H131" s="93"/>
      <x:c r="I131" s="93"/>
      <x:c r="J131" s="93"/>
    </x:row>
    <x:row r="132" s="92" customFormat="1" ht="7.900000095367432" customHeight="1">
      <x:c r="B132" s="93"/>
      <x:c r="C132" s="93"/>
      <x:c r="D132" s="93"/>
      <x:c r="E132" s="93"/>
      <x:c r="F132" s="93"/>
      <x:c r="G132" s="93"/>
      <x:c r="H132" s="93"/>
      <x:c r="I132" s="93"/>
      <x:c r="J132" s="93"/>
    </x:row>
    <x:row r="133" s="92" customFormat="1" ht="7.900000095367432" customHeight="1">
      <x:c r="B133" s="93"/>
      <x:c r="C133" s="93"/>
      <x:c r="D133" s="93"/>
      <x:c r="E133" s="93"/>
      <x:c r="F133" s="93"/>
      <x:c r="G133" s="93"/>
      <x:c r="H133" s="93"/>
      <x:c r="I133" s="93"/>
      <x:c r="J133" s="93"/>
    </x:row>
    <x:row r="134" s="92" customFormat="1" ht="7.900000095367432" customHeight="1">
      <x:c r="B134" s="93"/>
      <x:c r="C134" s="93"/>
      <x:c r="D134" s="93"/>
      <x:c r="E134" s="93"/>
      <x:c r="F134" s="93"/>
      <x:c r="G134" s="93"/>
      <x:c r="H134" s="93"/>
      <x:c r="I134" s="93"/>
      <x:c r="J134" s="93"/>
    </x:row>
    <x:row r="135" s="92" customFormat="1" ht="7.900000095367432" customHeight="1">
      <x:c r="B135" s="93"/>
      <x:c r="C135" s="93"/>
      <x:c r="D135" s="93"/>
      <x:c r="E135" s="93"/>
      <x:c r="F135" s="93"/>
      <x:c r="G135" s="93"/>
      <x:c r="H135" s="93"/>
      <x:c r="I135" s="93"/>
      <x:c r="J135" s="93"/>
    </x:row>
    <x:row r="136" s="92" customFormat="1" ht="7.900000095367432" customHeight="1">
      <x:c r="B136" s="93"/>
      <x:c r="C136" s="93"/>
      <x:c r="D136" s="93"/>
      <x:c r="E136" s="93"/>
      <x:c r="F136" s="93"/>
      <x:c r="G136" s="93"/>
      <x:c r="H136" s="93"/>
      <x:c r="I136" s="93"/>
      <x:c r="J136" s="93"/>
    </x:row>
    <x:row r="137" s="92" customFormat="1" ht="7.900000095367432" customHeight="1">
      <x:c r="B137" s="93"/>
      <x:c r="C137" s="93"/>
      <x:c r="D137" s="93"/>
      <x:c r="E137" s="93"/>
      <x:c r="F137" s="93"/>
      <x:c r="G137" s="93"/>
      <x:c r="H137" s="93"/>
      <x:c r="I137" s="93"/>
      <x:c r="J137" s="93"/>
    </x:row>
    <x:row r="138" s="92" customFormat="1" ht="7.900000095367432" customHeight="1">
      <x:c r="B138" s="93"/>
      <x:c r="C138" s="93"/>
      <x:c r="D138" s="93"/>
      <x:c r="E138" s="93"/>
      <x:c r="F138" s="93"/>
      <x:c r="G138" s="93"/>
      <x:c r="H138" s="93"/>
      <x:c r="I138" s="93"/>
      <x:c r="J138" s="93"/>
    </x:row>
    <x:row r="139" s="92" customFormat="1" ht="7.900000095367432" customHeight="1">
      <x:c r="B139" s="93"/>
      <x:c r="C139" s="93"/>
      <x:c r="D139" s="93"/>
      <x:c r="E139" s="93"/>
      <x:c r="F139" s="93"/>
      <x:c r="G139" s="93"/>
      <x:c r="H139" s="93"/>
      <x:c r="I139" s="93"/>
      <x:c r="J139" s="93"/>
    </x:row>
    <x:row r="140" s="92" customFormat="1" ht="7.900000095367432" customHeight="1">
      <x:c r="B140" s="93"/>
      <x:c r="C140" s="93"/>
      <x:c r="D140" s="93"/>
      <x:c r="E140" s="93"/>
      <x:c r="F140" s="93"/>
      <x:c r="G140" s="93"/>
      <x:c r="H140" s="93"/>
      <x:c r="I140" s="93"/>
      <x:c r="J140" s="93"/>
    </x:row>
    <x:row r="141" s="92" customFormat="1" ht="7.900000095367432" customHeight="1">
      <x:c r="B141" s="93"/>
      <x:c r="C141" s="93"/>
      <x:c r="D141" s="93"/>
      <x:c r="E141" s="93"/>
      <x:c r="F141" s="93"/>
      <x:c r="G141" s="93"/>
      <x:c r="H141" s="93"/>
      <x:c r="I141" s="93"/>
      <x:c r="J141" s="93"/>
    </x:row>
    <x:row r="142" s="92" customFormat="1" ht="7.900000095367432" customHeight="1">
      <x:c r="B142" s="93"/>
      <x:c r="C142" s="93"/>
      <x:c r="D142" s="93"/>
      <x:c r="E142" s="93"/>
      <x:c r="F142" s="93"/>
      <x:c r="G142" s="93"/>
      <x:c r="H142" s="93"/>
      <x:c r="I142" s="93"/>
      <x:c r="J142" s="93"/>
    </x:row>
    <x:row r="143" s="92" customFormat="1" ht="7.900000095367432" customHeight="1">
      <x:c r="B143" s="93"/>
      <x:c r="C143" s="93"/>
      <x:c r="D143" s="93"/>
      <x:c r="E143" s="93"/>
      <x:c r="F143" s="93"/>
      <x:c r="G143" s="93"/>
      <x:c r="H143" s="93"/>
      <x:c r="I143" s="93"/>
      <x:c r="J143" s="93"/>
    </x:row>
    <x:row r="144" s="92" customFormat="1" ht="7.900000095367432" customHeight="1">
      <x:c r="B144" s="93"/>
      <x:c r="C144" s="93"/>
      <x:c r="D144" s="93"/>
      <x:c r="E144" s="93"/>
      <x:c r="F144" s="93"/>
      <x:c r="G144" s="93"/>
      <x:c r="H144" s="93"/>
      <x:c r="I144" s="93"/>
      <x:c r="J144" s="93"/>
    </x:row>
    <x:row r="145" s="92" customFormat="1" ht="7.900000095367432" customHeight="1">
      <x:c r="B145" s="93"/>
      <x:c r="C145" s="93"/>
      <x:c r="D145" s="93"/>
      <x:c r="E145" s="93"/>
      <x:c r="F145" s="93"/>
      <x:c r="G145" s="93"/>
      <x:c r="H145" s="93"/>
      <x:c r="I145" s="93"/>
      <x:c r="J145" s="93"/>
    </x:row>
    <x:row r="146" s="92" customFormat="1" ht="7.900000095367432" customHeight="1">
      <x:c r="B146" s="93"/>
      <x:c r="C146" s="93"/>
      <x:c r="D146" s="93"/>
      <x:c r="E146" s="93"/>
      <x:c r="F146" s="93"/>
      <x:c r="G146" s="93"/>
      <x:c r="H146" s="93"/>
      <x:c r="I146" s="93"/>
      <x:c r="J146" s="93"/>
    </x:row>
    <x:row r="147" s="92" customFormat="1" ht="7.900000095367432" customHeight="1">
      <x:c r="B147" s="93"/>
      <x:c r="C147" s="93"/>
      <x:c r="D147" s="93"/>
      <x:c r="E147" s="93"/>
      <x:c r="F147" s="93"/>
      <x:c r="G147" s="93"/>
      <x:c r="H147" s="93"/>
      <x:c r="I147" s="93"/>
      <x:c r="J147" s="93"/>
    </x:row>
    <x:row r="148" s="92" customFormat="1" ht="7.900000095367432" customHeight="1">
      <x:c r="B148" s="93"/>
      <x:c r="C148" s="93"/>
      <x:c r="D148" s="93"/>
      <x:c r="E148" s="93"/>
      <x:c r="F148" s="93"/>
      <x:c r="G148" s="93"/>
      <x:c r="H148" s="93"/>
      <x:c r="I148" s="93"/>
      <x:c r="J148" s="93"/>
    </x:row>
    <x:row r="149" s="92" customFormat="1" ht="7.900000095367432" customHeight="1">
      <x:c r="B149" s="93"/>
      <x:c r="C149" s="93"/>
      <x:c r="D149" s="93"/>
      <x:c r="E149" s="93"/>
      <x:c r="F149" s="93"/>
      <x:c r="G149" s="93"/>
      <x:c r="H149" s="93"/>
      <x:c r="I149" s="93"/>
      <x:c r="J149" s="93"/>
    </x:row>
    <x:row r="150" s="92" customFormat="1" ht="7.900000095367432" customHeight="1">
      <x:c r="B150" s="93"/>
      <x:c r="C150" s="93"/>
      <x:c r="D150" s="93"/>
      <x:c r="E150" s="93"/>
      <x:c r="F150" s="93"/>
      <x:c r="G150" s="93"/>
      <x:c r="H150" s="93"/>
      <x:c r="I150" s="93"/>
      <x:c r="J150" s="93"/>
    </x:row>
    <x:row r="151" s="92" customFormat="1" ht="7.900000095367432" customHeight="1">
      <x:c r="B151" s="93"/>
      <x:c r="C151" s="93"/>
      <x:c r="D151" s="93"/>
      <x:c r="E151" s="93"/>
      <x:c r="F151" s="93"/>
      <x:c r="G151" s="93"/>
      <x:c r="H151" s="93"/>
      <x:c r="I151" s="93"/>
      <x:c r="J151" s="93"/>
    </x:row>
    <x:row r="152" s="92" customFormat="1" ht="7.900000095367432" customHeight="1">
      <x:c r="B152" s="93"/>
      <x:c r="C152" s="93"/>
      <x:c r="D152" s="93"/>
      <x:c r="E152" s="93"/>
      <x:c r="F152" s="93"/>
      <x:c r="G152" s="93"/>
      <x:c r="H152" s="93"/>
      <x:c r="I152" s="93"/>
      <x:c r="J152" s="93"/>
    </x:row>
    <x:row r="153" s="92" customFormat="1" ht="7.900000095367432" customHeight="1">
      <x:c r="B153" s="93"/>
      <x:c r="C153" s="93"/>
      <x:c r="D153" s="93"/>
      <x:c r="E153" s="93"/>
      <x:c r="F153" s="93"/>
      <x:c r="G153" s="93"/>
      <x:c r="H153" s="93"/>
      <x:c r="I153" s="93"/>
      <x:c r="J153" s="93"/>
    </x:row>
    <x:row r="154" s="92" customFormat="1" ht="7.900000095367432" customHeight="1">
      <x:c r="B154" s="93"/>
      <x:c r="C154" s="93"/>
      <x:c r="D154" s="93"/>
      <x:c r="E154" s="93"/>
      <x:c r="F154" s="93"/>
      <x:c r="G154" s="93"/>
      <x:c r="H154" s="93"/>
      <x:c r="I154" s="93"/>
      <x:c r="J154" s="93"/>
    </x:row>
    <x:row r="155" s="92" customFormat="1" ht="7.900000095367432" customHeight="1">
      <x:c r="B155" s="93"/>
      <x:c r="C155" s="93"/>
      <x:c r="D155" s="93"/>
      <x:c r="E155" s="93"/>
      <x:c r="F155" s="93"/>
      <x:c r="G155" s="93"/>
      <x:c r="H155" s="93"/>
      <x:c r="I155" s="93"/>
      <x:c r="J155" s="93"/>
    </x:row>
    <x:row r="156" s="92" customFormat="1" ht="7.900000095367432" customHeight="1">
      <x:c r="B156" s="93"/>
      <x:c r="C156" s="93"/>
      <x:c r="D156" s="93"/>
      <x:c r="E156" s="93"/>
      <x:c r="F156" s="93"/>
      <x:c r="G156" s="93"/>
      <x:c r="H156" s="93"/>
      <x:c r="I156" s="93"/>
      <x:c r="J156" s="93"/>
    </x:row>
    <x:row r="157" s="92" customFormat="1" ht="7.900000095367432" customHeight="1">
      <x:c r="B157" s="93"/>
      <x:c r="C157" s="93"/>
      <x:c r="D157" s="93"/>
      <x:c r="E157" s="93"/>
      <x:c r="F157" s="93"/>
      <x:c r="G157" s="93"/>
      <x:c r="H157" s="93"/>
      <x:c r="I157" s="93"/>
      <x:c r="J157" s="93"/>
    </x:row>
    <x:row r="158" s="92" customFormat="1" ht="7.900000095367432" customHeight="1">
      <x:c r="B158" s="93"/>
      <x:c r="C158" s="93"/>
      <x:c r="D158" s="93"/>
      <x:c r="E158" s="93"/>
      <x:c r="F158" s="93"/>
      <x:c r="G158" s="93"/>
      <x:c r="H158" s="93"/>
      <x:c r="I158" s="93"/>
      <x:c r="J158" s="93"/>
    </x:row>
    <x:row r="159" s="92" customFormat="1" ht="7.900000095367432" customHeight="1">
      <x:c r="B159" s="93"/>
      <x:c r="C159" s="93"/>
      <x:c r="D159" s="93"/>
      <x:c r="E159" s="93"/>
      <x:c r="F159" s="93"/>
      <x:c r="G159" s="93"/>
      <x:c r="H159" s="93"/>
      <x:c r="I159" s="93"/>
      <x:c r="J159" s="93"/>
    </x:row>
    <x:row r="160" s="92" customFormat="1" ht="7.900000095367432" customHeight="1">
      <x:c r="B160" s="93"/>
      <x:c r="C160" s="93"/>
      <x:c r="D160" s="93"/>
      <x:c r="E160" s="93"/>
      <x:c r="F160" s="93"/>
      <x:c r="G160" s="93"/>
      <x:c r="H160" s="93"/>
      <x:c r="I160" s="93"/>
      <x:c r="J160" s="93"/>
    </x:row>
    <x:row r="161" s="92" customFormat="1" ht="7.900000095367432" customHeight="1">
      <x:c r="B161" s="93"/>
      <x:c r="C161" s="93"/>
      <x:c r="D161" s="93"/>
      <x:c r="E161" s="93"/>
      <x:c r="F161" s="93"/>
      <x:c r="G161" s="93"/>
      <x:c r="H161" s="93"/>
      <x:c r="I161" s="93"/>
      <x:c r="J161" s="93"/>
    </x:row>
    <x:row r="162" s="92" customFormat="1" ht="7.900000095367432" customHeight="1">
      <x:c r="B162" s="93"/>
      <x:c r="C162" s="93"/>
      <x:c r="D162" s="93"/>
      <x:c r="E162" s="93"/>
      <x:c r="F162" s="93"/>
      <x:c r="G162" s="93"/>
      <x:c r="H162" s="93"/>
      <x:c r="I162" s="93"/>
      <x:c r="J162" s="93"/>
    </x:row>
    <x:row r="163" s="92" customFormat="1" ht="7.900000095367432" customHeight="1">
      <x:c r="B163" s="93"/>
      <x:c r="C163" s="93"/>
      <x:c r="D163" s="93"/>
      <x:c r="E163" s="93"/>
      <x:c r="F163" s="93"/>
      <x:c r="G163" s="93"/>
      <x:c r="H163" s="93"/>
      <x:c r="I163" s="93"/>
      <x:c r="J163" s="93"/>
    </x:row>
    <x:row r="164" s="92" customFormat="1" ht="7.900000095367432" customHeight="1">
      <x:c r="B164" s="93"/>
      <x:c r="C164" s="93"/>
      <x:c r="D164" s="93"/>
      <x:c r="E164" s="93"/>
      <x:c r="F164" s="93"/>
      <x:c r="G164" s="93"/>
      <x:c r="H164" s="93"/>
      <x:c r="I164" s="93"/>
      <x:c r="J164" s="93"/>
    </x:row>
    <x:row r="165" s="92" customFormat="1" ht="7.900000095367432" customHeight="1">
      <x:c r="B165" s="93"/>
      <x:c r="C165" s="93"/>
      <x:c r="D165" s="93"/>
      <x:c r="E165" s="93"/>
      <x:c r="F165" s="93"/>
      <x:c r="G165" s="93"/>
      <x:c r="H165" s="93"/>
      <x:c r="I165" s="93"/>
      <x:c r="J165" s="93"/>
    </x:row>
    <x:row r="166" s="92" customFormat="1" ht="7.900000095367432" customHeight="1">
      <x:c r="B166" s="93"/>
      <x:c r="C166" s="93"/>
      <x:c r="D166" s="93"/>
      <x:c r="E166" s="93"/>
      <x:c r="F166" s="93"/>
      <x:c r="G166" s="93"/>
      <x:c r="H166" s="93"/>
      <x:c r="I166" s="93"/>
      <x:c r="J166" s="93"/>
    </x:row>
    <x:row r="167" s="92" customFormat="1" ht="7.900000095367432" customHeight="1">
      <x:c r="B167" s="93"/>
      <x:c r="C167" s="93"/>
      <x:c r="D167" s="93"/>
      <x:c r="E167" s="93"/>
      <x:c r="F167" s="93"/>
      <x:c r="G167" s="93"/>
      <x:c r="H167" s="93"/>
      <x:c r="I167" s="93"/>
      <x:c r="J167" s="93"/>
    </x:row>
    <x:row r="168" s="92" customFormat="1" ht="7.900000095367432" customHeight="1">
      <x:c r="B168" s="93"/>
      <x:c r="C168" s="93"/>
      <x:c r="D168" s="93"/>
      <x:c r="E168" s="93"/>
      <x:c r="F168" s="93"/>
      <x:c r="G168" s="93"/>
      <x:c r="H168" s="93"/>
      <x:c r="I168" s="93"/>
      <x:c r="J168" s="93"/>
    </x:row>
    <x:row r="169" s="92" customFormat="1" ht="7.900000095367432" customHeight="1">
      <x:c r="B169" s="93"/>
      <x:c r="C169" s="93"/>
      <x:c r="D169" s="93"/>
      <x:c r="E169" s="93"/>
      <x:c r="F169" s="93"/>
      <x:c r="G169" s="93"/>
      <x:c r="H169" s="93"/>
      <x:c r="I169" s="93"/>
      <x:c r="J169" s="93"/>
    </x:row>
    <x:row r="170" s="92" customFormat="1" ht="7.900000095367432" customHeight="1">
      <x:c r="B170" s="93"/>
      <x:c r="C170" s="93"/>
      <x:c r="D170" s="93"/>
      <x:c r="E170" s="93"/>
      <x:c r="F170" s="93"/>
      <x:c r="G170" s="93"/>
      <x:c r="H170" s="93"/>
      <x:c r="I170" s="93"/>
      <x:c r="J170" s="93"/>
    </x:row>
    <x:row r="171" s="92" customFormat="1" ht="7.900000095367432" customHeight="1">
      <x:c r="B171" s="93"/>
      <x:c r="C171" s="93"/>
      <x:c r="D171" s="93"/>
      <x:c r="E171" s="93"/>
      <x:c r="F171" s="93"/>
      <x:c r="G171" s="93"/>
      <x:c r="H171" s="93"/>
      <x:c r="I171" s="93"/>
      <x:c r="J171" s="93"/>
    </x:row>
    <x:row r="172" s="92" customFormat="1" ht="7.900000095367432" customHeight="1">
      <x:c r="B172" s="93"/>
      <x:c r="C172" s="93"/>
      <x:c r="D172" s="93"/>
      <x:c r="E172" s="93"/>
      <x:c r="F172" s="93"/>
      <x:c r="G172" s="93"/>
      <x:c r="H172" s="93"/>
      <x:c r="I172" s="93"/>
      <x:c r="J172" s="93"/>
    </x:row>
    <x:row r="173" s="92" customFormat="1" ht="7.900000095367432" customHeight="1">
      <x:c r="B173" s="93"/>
      <x:c r="C173" s="93"/>
      <x:c r="D173" s="93"/>
      <x:c r="E173" s="93"/>
      <x:c r="F173" s="93"/>
      <x:c r="G173" s="93"/>
      <x:c r="H173" s="93"/>
      <x:c r="I173" s="93"/>
      <x:c r="J173" s="93"/>
    </x:row>
    <x:row r="174" s="92" customFormat="1" ht="7.900000095367432" customHeight="1">
      <x:c r="B174" s="93"/>
      <x:c r="C174" s="93"/>
      <x:c r="D174" s="93"/>
      <x:c r="E174" s="93"/>
      <x:c r="F174" s="93"/>
      <x:c r="G174" s="93"/>
      <x:c r="H174" s="93"/>
      <x:c r="I174" s="93"/>
      <x:c r="J174" s="93"/>
    </x:row>
    <x:row r="175" s="92" customFormat="1" ht="7.900000095367432" customHeight="1">
      <x:c r="B175" s="93"/>
      <x:c r="C175" s="93"/>
      <x:c r="D175" s="93"/>
      <x:c r="E175" s="93"/>
      <x:c r="F175" s="93"/>
      <x:c r="G175" s="93"/>
      <x:c r="H175" s="93"/>
      <x:c r="I175" s="93"/>
      <x:c r="J175" s="93"/>
    </x:row>
    <x:row r="176" s="92" customFormat="1" ht="7.900000095367432" customHeight="1">
      <x:c r="B176" s="93"/>
      <x:c r="C176" s="93"/>
      <x:c r="D176" s="93"/>
      <x:c r="E176" s="93"/>
      <x:c r="F176" s="93"/>
      <x:c r="G176" s="93"/>
      <x:c r="H176" s="93"/>
      <x:c r="I176" s="93"/>
      <x:c r="J176" s="93"/>
    </x:row>
    <x:row r="177" s="92" customFormat="1" ht="7.900000095367432" customHeight="1">
      <x:c r="B177" s="93"/>
      <x:c r="C177" s="93"/>
      <x:c r="D177" s="93"/>
      <x:c r="E177" s="93"/>
      <x:c r="F177" s="93"/>
      <x:c r="G177" s="93"/>
      <x:c r="H177" s="93"/>
      <x:c r="I177" s="93"/>
      <x:c r="J177" s="93"/>
    </x:row>
    <x:row r="178" s="92" customFormat="1" ht="7.900000095367432" customHeight="1">
      <x:c r="B178" s="93"/>
      <x:c r="C178" s="93"/>
      <x:c r="D178" s="93"/>
      <x:c r="E178" s="93"/>
      <x:c r="F178" s="93"/>
      <x:c r="G178" s="93"/>
      <x:c r="H178" s="93"/>
      <x:c r="I178" s="93"/>
      <x:c r="J178" s="93"/>
    </x:row>
    <x:row r="179" s="92" customFormat="1" ht="7.900000095367432" customHeight="1">
      <x:c r="B179" s="93"/>
      <x:c r="C179" s="93"/>
      <x:c r="D179" s="93"/>
      <x:c r="E179" s="93"/>
      <x:c r="F179" s="93"/>
      <x:c r="G179" s="93"/>
      <x:c r="H179" s="93"/>
      <x:c r="I179" s="93"/>
      <x:c r="J179" s="93"/>
    </x:row>
    <x:row r="180" s="92" customFormat="1" ht="7.900000095367432" customHeight="1">
      <x:c r="B180" s="93"/>
      <x:c r="C180" s="93"/>
      <x:c r="D180" s="93"/>
      <x:c r="E180" s="93"/>
      <x:c r="F180" s="93"/>
      <x:c r="G180" s="93"/>
      <x:c r="H180" s="93"/>
      <x:c r="I180" s="93"/>
      <x:c r="J180" s="93"/>
    </x:row>
    <x:row r="181" s="92" customFormat="1" ht="7.900000095367432" customHeight="1">
      <x:c r="B181" s="93"/>
      <x:c r="C181" s="93"/>
      <x:c r="D181" s="93"/>
      <x:c r="E181" s="93"/>
      <x:c r="F181" s="93"/>
      <x:c r="G181" s="93"/>
      <x:c r="H181" s="93"/>
      <x:c r="I181" s="93"/>
      <x:c r="J181" s="93"/>
    </x:row>
    <x:row r="182" s="92" customFormat="1" ht="7.900000095367432" customHeight="1">
      <x:c r="B182" s="93"/>
      <x:c r="C182" s="93"/>
      <x:c r="D182" s="93"/>
      <x:c r="E182" s="93"/>
      <x:c r="F182" s="93"/>
      <x:c r="G182" s="93"/>
      <x:c r="H182" s="93"/>
      <x:c r="I182" s="93"/>
      <x:c r="J182" s="93"/>
    </x:row>
    <x:row r="183" s="92" customFormat="1" ht="7.900000095367432" customHeight="1">
      <x:c r="B183" s="93"/>
      <x:c r="C183" s="93"/>
      <x:c r="D183" s="93"/>
      <x:c r="E183" s="93"/>
      <x:c r="F183" s="93"/>
      <x:c r="G183" s="93"/>
      <x:c r="H183" s="93"/>
      <x:c r="I183" s="93"/>
      <x:c r="J183" s="93"/>
    </x:row>
    <x:row r="184" s="92" customFormat="1" ht="7.900000095367432" customHeight="1">
      <x:c r="B184" s="93"/>
      <x:c r="C184" s="93"/>
      <x:c r="D184" s="93"/>
      <x:c r="E184" s="93"/>
      <x:c r="F184" s="93"/>
      <x:c r="G184" s="93"/>
      <x:c r="H184" s="93"/>
      <x:c r="I184" s="93"/>
      <x:c r="J184" s="93"/>
    </x:row>
    <x:row r="185" s="92" customFormat="1" ht="7.900000095367432" customHeight="1">
      <x:c r="B185" s="93"/>
      <x:c r="C185" s="93"/>
      <x:c r="D185" s="93"/>
      <x:c r="E185" s="93"/>
      <x:c r="F185" s="93"/>
      <x:c r="G185" s="93"/>
      <x:c r="H185" s="93"/>
      <x:c r="I185" s="93"/>
      <x:c r="J185" s="93"/>
    </x:row>
    <x:row r="186" s="92" customFormat="1" ht="7.900000095367432" customHeight="1">
      <x:c r="B186" s="93"/>
      <x:c r="C186" s="93"/>
      <x:c r="D186" s="93"/>
      <x:c r="E186" s="93"/>
      <x:c r="F186" s="93"/>
      <x:c r="G186" s="93"/>
      <x:c r="H186" s="93"/>
      <x:c r="I186" s="93"/>
      <x:c r="J186" s="93"/>
    </x:row>
    <x:row r="187" s="92" customFormat="1" ht="7.900000095367432" customHeight="1">
      <x:c r="B187" s="93"/>
      <x:c r="C187" s="93"/>
      <x:c r="D187" s="93"/>
      <x:c r="E187" s="93"/>
      <x:c r="F187" s="93"/>
      <x:c r="G187" s="93"/>
      <x:c r="H187" s="93"/>
      <x:c r="I187" s="93"/>
      <x:c r="J187" s="93"/>
    </x:row>
    <x:row r="188" s="92" customFormat="1" ht="7.900000095367432" customHeight="1">
      <x:c r="B188" s="93"/>
      <x:c r="C188" s="93"/>
      <x:c r="D188" s="93"/>
      <x:c r="E188" s="93"/>
      <x:c r="F188" s="93"/>
      <x:c r="G188" s="93"/>
      <x:c r="H188" s="93"/>
      <x:c r="I188" s="93"/>
      <x:c r="J188" s="93"/>
    </x:row>
    <x:row r="189" s="92" customFormat="1" ht="7.900000095367432" customHeight="1">
      <x:c r="B189" s="93"/>
      <x:c r="C189" s="93"/>
      <x:c r="D189" s="93"/>
      <x:c r="E189" s="93"/>
      <x:c r="F189" s="93"/>
      <x:c r="G189" s="93"/>
      <x:c r="H189" s="93"/>
      <x:c r="I189" s="93"/>
      <x:c r="J189" s="93"/>
    </x:row>
    <x:row r="190" s="92" customFormat="1" ht="7.900000095367432" customHeight="1">
      <x:c r="B190" s="93"/>
      <x:c r="C190" s="93"/>
      <x:c r="D190" s="93"/>
      <x:c r="E190" s="93"/>
      <x:c r="F190" s="93"/>
      <x:c r="G190" s="93"/>
      <x:c r="H190" s="93"/>
      <x:c r="I190" s="93"/>
      <x:c r="J190" s="93"/>
    </x:row>
    <x:row r="191" s="92" customFormat="1" ht="7.900000095367432" customHeight="1">
      <x:c r="B191" s="93"/>
      <x:c r="C191" s="93"/>
      <x:c r="D191" s="93"/>
      <x:c r="E191" s="93"/>
      <x:c r="F191" s="93"/>
      <x:c r="G191" s="93"/>
      <x:c r="H191" s="93"/>
      <x:c r="I191" s="93"/>
      <x:c r="J191" s="93"/>
    </x:row>
    <x:row r="192" s="92" customFormat="1" ht="7.900000095367432" customHeight="1">
      <x:c r="B192" s="93"/>
      <x:c r="C192" s="93"/>
      <x:c r="D192" s="93"/>
      <x:c r="E192" s="93"/>
      <x:c r="F192" s="93"/>
      <x:c r="G192" s="93"/>
      <x:c r="H192" s="93"/>
      <x:c r="I192" s="93"/>
      <x:c r="J192" s="93"/>
    </x:row>
    <x:row r="193" s="92" customFormat="1" ht="7.900000095367432" customHeight="1">
      <x:c r="B193" s="93"/>
      <x:c r="C193" s="93"/>
      <x:c r="D193" s="93"/>
      <x:c r="E193" s="93"/>
      <x:c r="F193" s="93"/>
      <x:c r="G193" s="93"/>
      <x:c r="H193" s="93"/>
      <x:c r="I193" s="93"/>
      <x:c r="J193" s="93"/>
    </x:row>
    <x:row r="194" s="92" customFormat="1" ht="7.900000095367432" customHeight="1">
      <x:c r="B194" s="93"/>
      <x:c r="C194" s="93"/>
      <x:c r="D194" s="93"/>
      <x:c r="E194" s="93"/>
      <x:c r="F194" s="93"/>
      <x:c r="G194" s="93"/>
      <x:c r="H194" s="93"/>
      <x:c r="I194" s="93"/>
      <x:c r="J194" s="93"/>
    </x:row>
    <x:row r="195" s="92" customFormat="1" ht="7.900000095367432" customHeight="1">
      <x:c r="B195" s="93"/>
      <x:c r="C195" s="93"/>
      <x:c r="D195" s="93"/>
      <x:c r="E195" s="93"/>
      <x:c r="F195" s="93"/>
      <x:c r="G195" s="93"/>
      <x:c r="H195" s="93"/>
      <x:c r="I195" s="93"/>
      <x:c r="J195" s="93"/>
    </x:row>
    <x:row r="196" s="92" customFormat="1" ht="7.900000095367432" customHeight="1">
      <x:c r="B196" s="93"/>
      <x:c r="C196" s="93"/>
      <x:c r="D196" s="93"/>
      <x:c r="E196" s="93"/>
      <x:c r="F196" s="93"/>
      <x:c r="G196" s="93"/>
      <x:c r="H196" s="93"/>
      <x:c r="I196" s="93"/>
      <x:c r="J196" s="93"/>
    </x:row>
    <x:row r="197" s="92" customFormat="1" ht="7.900000095367432" customHeight="1">
      <x:c r="B197" s="93"/>
      <x:c r="C197" s="93"/>
      <x:c r="D197" s="93"/>
      <x:c r="E197" s="93"/>
      <x:c r="F197" s="93"/>
      <x:c r="G197" s="93"/>
      <x:c r="H197" s="93"/>
      <x:c r="I197" s="93"/>
      <x:c r="J197" s="93"/>
    </x:row>
    <x:row r="198" s="92" customFormat="1" ht="7.900000095367432" customHeight="1">
      <x:c r="B198" s="93"/>
      <x:c r="C198" s="93"/>
      <x:c r="D198" s="93"/>
      <x:c r="E198" s="93"/>
      <x:c r="F198" s="93"/>
      <x:c r="G198" s="93"/>
      <x:c r="H198" s="93"/>
      <x:c r="I198" s="93"/>
      <x:c r="J198" s="93"/>
    </x:row>
    <x:row r="199" s="92" customFormat="1" ht="7.900000095367432" customHeight="1">
      <x:c r="B199" s="93"/>
      <x:c r="C199" s="93"/>
      <x:c r="D199" s="93"/>
      <x:c r="E199" s="93"/>
      <x:c r="F199" s="93"/>
      <x:c r="G199" s="93"/>
      <x:c r="H199" s="93"/>
      <x:c r="I199" s="93"/>
      <x:c r="J199" s="93"/>
    </x:row>
    <x:row r="200" s="92" customFormat="1" ht="7.900000095367432" customHeight="1">
      <x:c r="B200" s="93"/>
      <x:c r="C200" s="93"/>
      <x:c r="D200" s="93"/>
      <x:c r="E200" s="93"/>
      <x:c r="F200" s="93"/>
      <x:c r="G200" s="93"/>
      <x:c r="H200" s="93"/>
      <x:c r="I200" s="93"/>
      <x:c r="J200" s="93"/>
    </x:row>
    <x:row r="201" s="92" customFormat="1" ht="7.900000095367432" customHeight="1">
      <x:c r="B201" s="93"/>
      <x:c r="C201" s="93"/>
      <x:c r="D201" s="93"/>
      <x:c r="E201" s="93"/>
      <x:c r="F201" s="93"/>
      <x:c r="G201" s="93"/>
      <x:c r="H201" s="93"/>
      <x:c r="I201" s="93"/>
      <x:c r="J201" s="93"/>
    </x:row>
    <x:row r="202" s="92" customFormat="1" ht="7.900000095367432" customHeight="1">
      <x:c r="B202" s="93"/>
      <x:c r="C202" s="93"/>
      <x:c r="D202" s="93"/>
      <x:c r="E202" s="93"/>
      <x:c r="F202" s="93"/>
      <x:c r="G202" s="93"/>
      <x:c r="H202" s="93"/>
      <x:c r="I202" s="93"/>
      <x:c r="J202" s="93"/>
    </x:row>
    <x:row r="203" s="92" customFormat="1" ht="7.900000095367432" customHeight="1">
      <x:c r="B203" s="93"/>
      <x:c r="C203" s="93"/>
      <x:c r="D203" s="93"/>
      <x:c r="E203" s="93"/>
      <x:c r="F203" s="93"/>
      <x:c r="G203" s="93"/>
      <x:c r="H203" s="93"/>
      <x:c r="I203" s="93"/>
      <x:c r="J203" s="93"/>
    </x:row>
    <x:row r="204" s="92" customFormat="1" ht="7.900000095367432" customHeight="1">
      <x:c r="B204" s="93"/>
      <x:c r="C204" s="93"/>
      <x:c r="D204" s="93"/>
      <x:c r="E204" s="93"/>
      <x:c r="F204" s="93"/>
      <x:c r="G204" s="93"/>
      <x:c r="H204" s="93"/>
      <x:c r="I204" s="93"/>
      <x:c r="J204" s="93"/>
    </x:row>
    <x:row r="205" s="92" customFormat="1" ht="7.900000095367432" customHeight="1">
      <x:c r="B205" s="93"/>
      <x:c r="C205" s="93"/>
      <x:c r="D205" s="93"/>
      <x:c r="E205" s="93"/>
      <x:c r="F205" s="93"/>
      <x:c r="G205" s="93"/>
      <x:c r="H205" s="93"/>
      <x:c r="I205" s="93"/>
      <x:c r="J205" s="93"/>
    </x:row>
    <x:row r="206" s="92" customFormat="1" ht="7.900000095367432" customHeight="1">
      <x:c r="B206" s="93"/>
      <x:c r="C206" s="93"/>
      <x:c r="D206" s="93"/>
      <x:c r="E206" s="93"/>
      <x:c r="F206" s="93"/>
      <x:c r="G206" s="93"/>
      <x:c r="H206" s="93"/>
      <x:c r="I206" s="93"/>
      <x:c r="J206" s="93"/>
    </x:row>
    <x:row r="207" s="92" customFormat="1" ht="7.900000095367432" customHeight="1">
      <x:c r="B207" s="93"/>
      <x:c r="C207" s="93"/>
      <x:c r="D207" s="93"/>
      <x:c r="E207" s="93"/>
      <x:c r="F207" s="93"/>
      <x:c r="G207" s="93"/>
      <x:c r="H207" s="93"/>
      <x:c r="I207" s="93"/>
      <x:c r="J207" s="93"/>
    </x:row>
    <x:row r="208" s="92" customFormat="1" ht="7.900000095367432" customHeight="1">
      <x:c r="B208" s="93"/>
      <x:c r="C208" s="93"/>
      <x:c r="D208" s="93"/>
      <x:c r="E208" s="93"/>
      <x:c r="F208" s="93"/>
      <x:c r="G208" s="93"/>
      <x:c r="H208" s="93"/>
      <x:c r="I208" s="93"/>
      <x:c r="J208" s="93"/>
    </x:row>
    <x:row r="209" s="92" customFormat="1" ht="7.900000095367432" customHeight="1">
      <x:c r="B209" s="93"/>
      <x:c r="C209" s="93"/>
      <x:c r="D209" s="93"/>
      <x:c r="E209" s="93"/>
      <x:c r="F209" s="93"/>
      <x:c r="G209" s="93"/>
      <x:c r="H209" s="93"/>
      <x:c r="I209" s="93"/>
      <x:c r="J209" s="93"/>
    </x:row>
    <x:row r="210" s="92" customFormat="1" ht="7.900000095367432" customHeight="1">
      <x:c r="B210" s="93"/>
      <x:c r="C210" s="93"/>
      <x:c r="D210" s="93"/>
      <x:c r="E210" s="93"/>
      <x:c r="F210" s="93"/>
      <x:c r="G210" s="93"/>
      <x:c r="H210" s="93"/>
      <x:c r="I210" s="93"/>
      <x:c r="J210" s="93"/>
    </x:row>
    <x:row r="211" s="92" customFormat="1" ht="7.900000095367432" customHeight="1">
      <x:c r="B211" s="93"/>
      <x:c r="C211" s="93"/>
      <x:c r="D211" s="93"/>
      <x:c r="E211" s="93"/>
      <x:c r="F211" s="93"/>
      <x:c r="G211" s="93"/>
      <x:c r="H211" s="93"/>
      <x:c r="I211" s="93"/>
      <x:c r="J211" s="93"/>
    </x:row>
    <x:row r="212" s="92" customFormat="1" ht="7.900000095367432" customHeight="1">
      <x:c r="B212" s="93"/>
      <x:c r="C212" s="93"/>
      <x:c r="D212" s="93"/>
      <x:c r="E212" s="93"/>
      <x:c r="F212" s="93"/>
      <x:c r="G212" s="93"/>
      <x:c r="H212" s="93"/>
      <x:c r="I212" s="93"/>
      <x:c r="J212" s="93"/>
    </x:row>
    <x:row r="213" s="92" customFormat="1" ht="7.900000095367432" customHeight="1">
      <x:c r="B213" s="93"/>
      <x:c r="C213" s="93"/>
      <x:c r="D213" s="93"/>
      <x:c r="E213" s="93"/>
      <x:c r="F213" s="93"/>
      <x:c r="G213" s="93"/>
      <x:c r="H213" s="93"/>
      <x:c r="I213" s="93"/>
      <x:c r="J213" s="93"/>
    </x:row>
    <x:row r="214" s="92" customFormat="1" ht="7.900000095367432" customHeight="1">
      <x:c r="B214" s="93"/>
      <x:c r="C214" s="93"/>
      <x:c r="D214" s="93"/>
      <x:c r="E214" s="93"/>
      <x:c r="F214" s="93"/>
      <x:c r="G214" s="93"/>
      <x:c r="H214" s="93"/>
      <x:c r="I214" s="93"/>
      <x:c r="J214" s="93"/>
    </x:row>
    <x:row r="215" s="92" customFormat="1" ht="7.900000095367432" customHeight="1">
      <x:c r="B215" s="93"/>
      <x:c r="C215" s="93"/>
      <x:c r="D215" s="93"/>
      <x:c r="E215" s="93"/>
      <x:c r="F215" s="93"/>
      <x:c r="G215" s="93"/>
      <x:c r="H215" s="93"/>
      <x:c r="I215" s="93"/>
      <x:c r="J215" s="93"/>
    </x:row>
    <x:row r="216" s="92" customFormat="1" ht="7.900000095367432" customHeight="1">
      <x:c r="B216" s="93"/>
      <x:c r="C216" s="93"/>
      <x:c r="D216" s="93"/>
      <x:c r="E216" s="93"/>
      <x:c r="F216" s="93"/>
      <x:c r="G216" s="93"/>
      <x:c r="H216" s="93"/>
      <x:c r="I216" s="93"/>
      <x:c r="J216" s="93"/>
    </x:row>
    <x:row r="217" s="92" customFormat="1" ht="7.900000095367432" customHeight="1">
      <x:c r="B217" s="93"/>
      <x:c r="C217" s="93"/>
      <x:c r="D217" s="93"/>
      <x:c r="E217" s="93"/>
      <x:c r="F217" s="93"/>
      <x:c r="G217" s="93"/>
      <x:c r="H217" s="93"/>
      <x:c r="I217" s="93"/>
      <x:c r="J217" s="93"/>
    </x:row>
    <x:row r="218" s="92" customFormat="1" ht="7.900000095367432" customHeight="1">
      <x:c r="B218" s="93"/>
      <x:c r="C218" s="93"/>
      <x:c r="D218" s="93"/>
      <x:c r="E218" s="93"/>
      <x:c r="F218" s="93"/>
      <x:c r="G218" s="93"/>
      <x:c r="H218" s="93"/>
      <x:c r="I218" s="93"/>
      <x:c r="J218" s="93"/>
    </x:row>
    <x:row r="219" s="92" customFormat="1" ht="7.900000095367432" customHeight="1">
      <x:c r="B219" s="93"/>
      <x:c r="C219" s="93"/>
      <x:c r="D219" s="93"/>
      <x:c r="E219" s="93"/>
      <x:c r="F219" s="93"/>
      <x:c r="G219" s="93"/>
      <x:c r="H219" s="93"/>
      <x:c r="I219" s="93"/>
      <x:c r="J219" s="93"/>
    </x:row>
    <x:row r="220" s="92" customFormat="1" ht="7.900000095367432" customHeight="1">
      <x:c r="B220" s="93"/>
      <x:c r="C220" s="93"/>
      <x:c r="D220" s="93"/>
      <x:c r="E220" s="93"/>
      <x:c r="F220" s="93"/>
      <x:c r="G220" s="93"/>
      <x:c r="H220" s="93"/>
      <x:c r="I220" s="93"/>
      <x:c r="J220" s="93"/>
    </x:row>
    <x:row r="221" s="92" customFormat="1" ht="7.900000095367432" customHeight="1">
      <x:c r="B221" s="93"/>
      <x:c r="C221" s="93"/>
      <x:c r="D221" s="93"/>
      <x:c r="E221" s="93"/>
      <x:c r="F221" s="93"/>
      <x:c r="G221" s="93"/>
      <x:c r="H221" s="93"/>
      <x:c r="I221" s="93"/>
      <x:c r="J221" s="93"/>
    </x:row>
    <x:row r="222" s="92" customFormat="1" ht="7.900000095367432" customHeight="1">
      <x:c r="B222" s="93"/>
      <x:c r="C222" s="93"/>
      <x:c r="D222" s="93"/>
      <x:c r="E222" s="93"/>
      <x:c r="F222" s="93"/>
      <x:c r="G222" s="93"/>
      <x:c r="H222" s="93"/>
      <x:c r="I222" s="93"/>
      <x:c r="J222" s="93"/>
    </x:row>
    <x:row r="223" s="92" customFormat="1" ht="7.900000095367432" customHeight="1">
      <x:c r="B223" s="93"/>
      <x:c r="C223" s="93"/>
      <x:c r="D223" s="93"/>
      <x:c r="E223" s="93"/>
      <x:c r="F223" s="93"/>
      <x:c r="G223" s="93"/>
      <x:c r="H223" s="93"/>
      <x:c r="I223" s="93"/>
      <x:c r="J223" s="93"/>
    </x:row>
    <x:row r="224" s="92" customFormat="1" ht="7.900000095367432" customHeight="1">
      <x:c r="B224" s="93"/>
      <x:c r="C224" s="93"/>
      <x:c r="D224" s="93"/>
      <x:c r="E224" s="93"/>
      <x:c r="F224" s="93"/>
      <x:c r="G224" s="93"/>
      <x:c r="H224" s="93"/>
      <x:c r="I224" s="93"/>
      <x:c r="J224" s="93"/>
    </x:row>
    <x:row r="225" s="92" customFormat="1" ht="7.900000095367432" customHeight="1">
      <x:c r="B225" s="93"/>
      <x:c r="C225" s="93"/>
      <x:c r="D225" s="93"/>
      <x:c r="E225" s="93"/>
      <x:c r="F225" s="93"/>
      <x:c r="G225" s="93"/>
      <x:c r="H225" s="93"/>
      <x:c r="I225" s="93"/>
      <x:c r="J225" s="93"/>
    </x:row>
    <x:row r="226" s="92" customFormat="1" ht="7.900000095367432" customHeight="1">
      <x:c r="B226" s="93"/>
      <x:c r="C226" s="93"/>
      <x:c r="D226" s="93"/>
      <x:c r="E226" s="93"/>
      <x:c r="F226" s="93"/>
      <x:c r="G226" s="93"/>
      <x:c r="H226" s="93"/>
      <x:c r="I226" s="93"/>
      <x:c r="J226" s="93"/>
    </x:row>
    <x:row r="227" s="92" customFormat="1" ht="7.900000095367432" customHeight="1">
      <x:c r="B227" s="93"/>
      <x:c r="C227" s="93"/>
      <x:c r="D227" s="93"/>
      <x:c r="E227" s="93"/>
      <x:c r="F227" s="93"/>
      <x:c r="G227" s="93"/>
      <x:c r="H227" s="93"/>
      <x:c r="I227" s="93"/>
      <x:c r="J227" s="93"/>
    </x:row>
    <x:row r="228" s="92" customFormat="1" ht="7.900000095367432" customHeight="1">
      <x:c r="B228" s="93"/>
      <x:c r="C228" s="93"/>
      <x:c r="D228" s="93"/>
      <x:c r="E228" s="93"/>
      <x:c r="F228" s="93"/>
      <x:c r="G228" s="93"/>
      <x:c r="H228" s="93"/>
      <x:c r="I228" s="93"/>
      <x:c r="J228" s="93"/>
    </x:row>
    <x:row r="229" s="92" customFormat="1" ht="7.900000095367432" customHeight="1">
      <x:c r="B229" s="93"/>
      <x:c r="C229" s="93"/>
      <x:c r="D229" s="93"/>
      <x:c r="E229" s="93"/>
      <x:c r="F229" s="93"/>
      <x:c r="G229" s="93"/>
      <x:c r="H229" s="93"/>
      <x:c r="I229" s="93"/>
      <x:c r="J229" s="93"/>
    </x:row>
    <x:row r="230" s="92" customFormat="1" ht="7.900000095367432" customHeight="1">
      <x:c r="B230" s="93"/>
      <x:c r="C230" s="93"/>
      <x:c r="D230" s="93"/>
      <x:c r="E230" s="93"/>
      <x:c r="F230" s="93"/>
      <x:c r="G230" s="93"/>
      <x:c r="H230" s="93"/>
      <x:c r="I230" s="93"/>
      <x:c r="J230" s="93"/>
    </x:row>
    <x:row r="231" s="92" customFormat="1" ht="7.900000095367432" customHeight="1">
      <x:c r="B231" s="93"/>
      <x:c r="C231" s="93"/>
      <x:c r="D231" s="93"/>
      <x:c r="E231" s="93"/>
      <x:c r="F231" s="93"/>
      <x:c r="G231" s="93"/>
      <x:c r="H231" s="93"/>
      <x:c r="I231" s="93"/>
      <x:c r="J231" s="93"/>
    </x:row>
    <x:row r="232" s="92" customFormat="1" ht="7.900000095367432" customHeight="1">
      <x:c r="B232" s="93"/>
      <x:c r="C232" s="93"/>
      <x:c r="D232" s="93"/>
      <x:c r="E232" s="93"/>
      <x:c r="F232" s="93"/>
      <x:c r="G232" s="93"/>
      <x:c r="H232" s="93"/>
      <x:c r="I232" s="93"/>
      <x:c r="J232" s="93"/>
    </x:row>
    <x:row r="233" s="92" customFormat="1" ht="7.900000095367432" customHeight="1">
      <x:c r="B233" s="93"/>
      <x:c r="C233" s="93"/>
      <x:c r="D233" s="93"/>
      <x:c r="E233" s="93"/>
      <x:c r="F233" s="93"/>
      <x:c r="G233" s="93"/>
      <x:c r="H233" s="93"/>
      <x:c r="I233" s="93"/>
      <x:c r="J233" s="93"/>
    </x:row>
    <x:row r="234" s="92" customFormat="1" ht="7.900000095367432" customHeight="1">
      <x:c r="B234" s="93"/>
      <x:c r="C234" s="93"/>
      <x:c r="D234" s="93"/>
      <x:c r="E234" s="93"/>
      <x:c r="F234" s="93"/>
      <x:c r="G234" s="93"/>
      <x:c r="H234" s="93"/>
      <x:c r="I234" s="93"/>
      <x:c r="J234" s="93"/>
    </x:row>
    <x:row r="235" s="92" customFormat="1" ht="7.900000095367432" customHeight="1">
      <x:c r="B235" s="93"/>
      <x:c r="C235" s="93"/>
      <x:c r="D235" s="93"/>
      <x:c r="E235" s="93"/>
      <x:c r="F235" s="93"/>
      <x:c r="G235" s="93"/>
      <x:c r="H235" s="93"/>
      <x:c r="I235" s="93"/>
      <x:c r="J235" s="93"/>
    </x:row>
    <x:row r="236" s="92" customFormat="1" ht="7.900000095367432" customHeight="1">
      <x:c r="B236" s="93"/>
      <x:c r="C236" s="93"/>
      <x:c r="D236" s="93"/>
      <x:c r="E236" s="93"/>
      <x:c r="F236" s="93"/>
      <x:c r="G236" s="93"/>
      <x:c r="H236" s="93"/>
      <x:c r="I236" s="93"/>
      <x:c r="J236" s="93"/>
    </x:row>
    <x:row r="237" s="92" customFormat="1" ht="7.900000095367432" customHeight="1">
      <x:c r="B237" s="93"/>
      <x:c r="C237" s="93"/>
      <x:c r="D237" s="93"/>
      <x:c r="E237" s="93"/>
      <x:c r="F237" s="93"/>
      <x:c r="G237" s="93"/>
      <x:c r="H237" s="93"/>
      <x:c r="I237" s="93"/>
      <x:c r="J237" s="93"/>
    </x:row>
    <x:row r="238" s="92" customFormat="1" ht="7.900000095367432" customHeight="1">
      <x:c r="B238" s="93"/>
      <x:c r="C238" s="93"/>
      <x:c r="D238" s="93"/>
      <x:c r="E238" s="93"/>
      <x:c r="F238" s="93"/>
      <x:c r="G238" s="93"/>
      <x:c r="H238" s="93"/>
      <x:c r="I238" s="93"/>
      <x:c r="J238" s="93"/>
    </x:row>
    <x:row r="239" s="92" customFormat="1" ht="7.900000095367432" customHeight="1">
      <x:c r="B239" s="93"/>
      <x:c r="C239" s="93"/>
      <x:c r="D239" s="93"/>
      <x:c r="E239" s="93"/>
      <x:c r="F239" s="93"/>
      <x:c r="G239" s="93"/>
      <x:c r="H239" s="93"/>
      <x:c r="I239" s="93"/>
      <x:c r="J239" s="93"/>
    </x:row>
    <x:row r="240" s="92" customFormat="1" ht="7.900000095367432" customHeight="1">
      <x:c r="B240" s="93"/>
      <x:c r="C240" s="93"/>
      <x:c r="D240" s="93"/>
      <x:c r="E240" s="93"/>
      <x:c r="F240" s="93"/>
      <x:c r="G240" s="93"/>
      <x:c r="H240" s="93"/>
      <x:c r="I240" s="93"/>
      <x:c r="J240" s="93"/>
    </x:row>
    <x:row r="241" s="92" customFormat="1" ht="7.900000095367432" customHeight="1">
      <x:c r="B241" s="93"/>
      <x:c r="C241" s="93"/>
      <x:c r="D241" s="93"/>
      <x:c r="E241" s="93"/>
      <x:c r="F241" s="93"/>
      <x:c r="G241" s="93"/>
      <x:c r="H241" s="93"/>
      <x:c r="I241" s="93"/>
      <x:c r="J241" s="93"/>
    </x:row>
    <x:row r="242" s="92" customFormat="1" ht="7.900000095367432" customHeight="1">
      <x:c r="B242" s="93"/>
      <x:c r="C242" s="93"/>
      <x:c r="D242" s="93"/>
      <x:c r="E242" s="93"/>
      <x:c r="F242" s="93"/>
      <x:c r="G242" s="93"/>
      <x:c r="H242" s="93"/>
      <x:c r="I242" s="93"/>
      <x:c r="J242" s="93"/>
    </x:row>
    <x:row r="243" s="92" customFormat="1" ht="7.900000095367432" customHeight="1">
      <x:c r="B243" s="93"/>
      <x:c r="C243" s="93"/>
      <x:c r="D243" s="93"/>
      <x:c r="E243" s="93"/>
      <x:c r="F243" s="93"/>
      <x:c r="G243" s="93"/>
      <x:c r="H243" s="93"/>
      <x:c r="I243" s="93"/>
      <x:c r="J243" s="93"/>
    </x:row>
    <x:row r="244" s="92" customFormat="1" ht="7.900000095367432" customHeight="1">
      <x:c r="B244" s="93"/>
      <x:c r="C244" s="93"/>
      <x:c r="D244" s="93"/>
      <x:c r="E244" s="93"/>
      <x:c r="F244" s="93"/>
      <x:c r="G244" s="93"/>
      <x:c r="H244" s="93"/>
      <x:c r="I244" s="93"/>
      <x:c r="J244" s="93"/>
    </x:row>
    <x:row r="245" s="92" customFormat="1" ht="7.900000095367432" customHeight="1">
      <x:c r="B245" s="93"/>
      <x:c r="C245" s="93"/>
      <x:c r="D245" s="93"/>
      <x:c r="E245" s="93"/>
      <x:c r="F245" s="93"/>
      <x:c r="G245" s="93"/>
      <x:c r="H245" s="93"/>
      <x:c r="I245" s="93"/>
      <x:c r="J245" s="93"/>
    </x:row>
    <x:row r="246" s="92" customFormat="1" ht="7.900000095367432" customHeight="1">
      <x:c r="B246" s="93"/>
      <x:c r="C246" s="93"/>
      <x:c r="D246" s="93"/>
      <x:c r="E246" s="93"/>
      <x:c r="F246" s="93"/>
      <x:c r="G246" s="93"/>
      <x:c r="H246" s="93"/>
      <x:c r="I246" s="93"/>
      <x:c r="J246" s="93"/>
    </x:row>
    <x:row r="247" s="92" customFormat="1" ht="7.900000095367432" customHeight="1">
      <x:c r="B247" s="93"/>
      <x:c r="C247" s="93"/>
      <x:c r="D247" s="93"/>
      <x:c r="E247" s="93"/>
      <x:c r="F247" s="93"/>
      <x:c r="G247" s="93"/>
      <x:c r="H247" s="93"/>
      <x:c r="I247" s="93"/>
      <x:c r="J247" s="93"/>
    </x:row>
    <x:row r="248" s="92" customFormat="1" ht="7.900000095367432" customHeight="1">
      <x:c r="B248" s="93"/>
      <x:c r="C248" s="93"/>
      <x:c r="D248" s="93"/>
      <x:c r="E248" s="93"/>
      <x:c r="F248" s="93"/>
      <x:c r="G248" s="93"/>
      <x:c r="H248" s="93"/>
      <x:c r="I248" s="93"/>
      <x:c r="J248" s="93"/>
    </x:row>
    <x:row r="249" s="92" customFormat="1" ht="7.900000095367432" customHeight="1">
      <x:c r="B249" s="93"/>
      <x:c r="C249" s="93"/>
      <x:c r="D249" s="93"/>
      <x:c r="E249" s="93"/>
      <x:c r="F249" s="93"/>
      <x:c r="G249" s="93"/>
      <x:c r="H249" s="93"/>
      <x:c r="I249" s="93"/>
      <x:c r="J249" s="93"/>
    </x:row>
    <x:row r="250" s="92" customFormat="1" ht="7.900000095367432" customHeight="1">
      <x:c r="B250" s="93"/>
      <x:c r="C250" s="93"/>
      <x:c r="D250" s="93"/>
      <x:c r="E250" s="93"/>
      <x:c r="F250" s="93"/>
      <x:c r="G250" s="93"/>
      <x:c r="H250" s="93"/>
      <x:c r="I250" s="93"/>
      <x:c r="J250" s="93"/>
    </x:row>
    <x:row r="251" s="92" customFormat="1" ht="7.900000095367432" customHeight="1">
      <x:c r="B251" s="93"/>
      <x:c r="C251" s="93"/>
      <x:c r="D251" s="93"/>
      <x:c r="E251" s="93"/>
      <x:c r="F251" s="93"/>
      <x:c r="G251" s="93"/>
      <x:c r="H251" s="93"/>
      <x:c r="I251" s="93"/>
      <x:c r="J251" s="93"/>
    </x:row>
    <x:row r="252" s="92" customFormat="1" ht="7.900000095367432" customHeight="1">
      <x:c r="B252" s="93"/>
      <x:c r="C252" s="93"/>
      <x:c r="D252" s="93"/>
      <x:c r="E252" s="93"/>
      <x:c r="F252" s="93"/>
      <x:c r="G252" s="93"/>
      <x:c r="H252" s="93"/>
      <x:c r="I252" s="93"/>
      <x:c r="J252" s="93"/>
    </x:row>
    <x:row r="253" s="92" customFormat="1" ht="7.900000095367432" customHeight="1">
      <x:c r="B253" s="93"/>
      <x:c r="C253" s="93"/>
      <x:c r="D253" s="93"/>
      <x:c r="E253" s="93"/>
      <x:c r="F253" s="93"/>
      <x:c r="G253" s="93"/>
      <x:c r="H253" s="93"/>
      <x:c r="I253" s="93"/>
      <x:c r="J253" s="93"/>
    </x:row>
    <x:row r="254" s="92" customFormat="1" ht="7.900000095367432" customHeight="1">
      <x:c r="B254" s="93"/>
      <x:c r="C254" s="93"/>
      <x:c r="D254" s="93"/>
      <x:c r="E254" s="93"/>
      <x:c r="F254" s="93"/>
      <x:c r="G254" s="93"/>
      <x:c r="H254" s="93"/>
      <x:c r="I254" s="93"/>
      <x:c r="J254" s="93"/>
    </x:row>
    <x:row r="255" s="92" customFormat="1" ht="7.900000095367432" customHeight="1">
      <x:c r="B255" s="93"/>
      <x:c r="C255" s="93"/>
      <x:c r="D255" s="93"/>
      <x:c r="E255" s="93"/>
      <x:c r="F255" s="93"/>
      <x:c r="G255" s="93"/>
      <x:c r="H255" s="93"/>
      <x:c r="I255" s="93"/>
      <x:c r="J255" s="93"/>
    </x:row>
    <x:row r="256" s="92" customFormat="1" ht="7.900000095367432" customHeight="1">
      <x:c r="B256" s="93"/>
      <x:c r="C256" s="93"/>
      <x:c r="D256" s="93"/>
      <x:c r="E256" s="93"/>
      <x:c r="F256" s="93"/>
      <x:c r="G256" s="93"/>
      <x:c r="H256" s="93"/>
      <x:c r="I256" s="93"/>
      <x:c r="J256" s="93"/>
    </x:row>
    <x:row r="257" s="92" customFormat="1" ht="7.900000095367432" customHeight="1">
      <x:c r="B257" s="93"/>
      <x:c r="C257" s="93"/>
      <x:c r="D257" s="93"/>
      <x:c r="E257" s="93"/>
      <x:c r="F257" s="93"/>
      <x:c r="G257" s="93"/>
      <x:c r="H257" s="93"/>
      <x:c r="I257" s="93"/>
      <x:c r="J257" s="93"/>
    </x:row>
    <x:row r="258" s="92" customFormat="1" ht="7.900000095367432" customHeight="1">
      <x:c r="B258" s="93"/>
      <x:c r="C258" s="93"/>
      <x:c r="D258" s="93"/>
      <x:c r="E258" s="93"/>
      <x:c r="F258" s="93"/>
      <x:c r="G258" s="93"/>
      <x:c r="H258" s="93"/>
      <x:c r="I258" s="93"/>
      <x:c r="J258" s="93"/>
    </x:row>
    <x:row r="259" s="92" customFormat="1" ht="7.900000095367432" customHeight="1">
      <x:c r="B259" s="93"/>
      <x:c r="C259" s="93"/>
      <x:c r="D259" s="93"/>
      <x:c r="E259" s="93"/>
      <x:c r="F259" s="93"/>
      <x:c r="G259" s="93"/>
      <x:c r="H259" s="93"/>
      <x:c r="I259" s="93"/>
      <x:c r="J259" s="93"/>
    </x:row>
    <x:row r="260" s="92" customFormat="1" ht="7.900000095367432" customHeight="1">
      <x:c r="B260" s="93"/>
      <x:c r="C260" s="93"/>
      <x:c r="D260" s="93"/>
      <x:c r="E260" s="93"/>
      <x:c r="F260" s="93"/>
      <x:c r="G260" s="93"/>
      <x:c r="H260" s="93"/>
      <x:c r="I260" s="93"/>
      <x:c r="J260" s="93"/>
    </x:row>
    <x:row r="261" s="92" customFormat="1" ht="7.900000095367432" customHeight="1">
      <x:c r="B261" s="93"/>
      <x:c r="C261" s="93"/>
      <x:c r="D261" s="93"/>
      <x:c r="E261" s="93"/>
      <x:c r="F261" s="93"/>
      <x:c r="G261" s="93"/>
      <x:c r="H261" s="93"/>
      <x:c r="I261" s="93"/>
      <x:c r="J261" s="93"/>
    </x:row>
    <x:row r="262" s="92" customFormat="1" ht="7.900000095367432" customHeight="1">
      <x:c r="B262" s="93"/>
      <x:c r="C262" s="93"/>
      <x:c r="D262" s="93"/>
      <x:c r="E262" s="93"/>
      <x:c r="F262" s="93"/>
      <x:c r="G262" s="93"/>
      <x:c r="H262" s="93"/>
      <x:c r="I262" s="93"/>
      <x:c r="J262" s="93"/>
    </x:row>
    <x:row r="263" s="92" customFormat="1" ht="7.900000095367432" customHeight="1">
      <x:c r="B263" s="93"/>
      <x:c r="C263" s="93"/>
      <x:c r="D263" s="93"/>
      <x:c r="E263" s="93"/>
      <x:c r="F263" s="93"/>
      <x:c r="G263" s="93"/>
      <x:c r="H263" s="93"/>
      <x:c r="I263" s="93"/>
      <x:c r="J263" s="93"/>
    </x:row>
    <x:row r="264" s="92" customFormat="1" ht="7.900000095367432" customHeight="1">
      <x:c r="B264" s="93"/>
      <x:c r="C264" s="93"/>
      <x:c r="D264" s="93"/>
      <x:c r="E264" s="93"/>
      <x:c r="F264" s="93"/>
      <x:c r="G264" s="93"/>
      <x:c r="H264" s="93"/>
      <x:c r="I264" s="93"/>
      <x:c r="J264" s="93"/>
    </x:row>
    <x:row r="265" s="92" customFormat="1" ht="7.900000095367432" customHeight="1">
      <x:c r="B265" s="93"/>
      <x:c r="C265" s="93"/>
      <x:c r="D265" s="93"/>
      <x:c r="E265" s="93"/>
      <x:c r="F265" s="93"/>
      <x:c r="G265" s="93"/>
      <x:c r="H265" s="93"/>
      <x:c r="I265" s="93"/>
      <x:c r="J265" s="93"/>
    </x:row>
    <x:row r="266" s="92" customFormat="1" ht="7.900000095367432" customHeight="1">
      <x:c r="B266" s="93"/>
      <x:c r="C266" s="93"/>
      <x:c r="D266" s="93"/>
      <x:c r="E266" s="93"/>
      <x:c r="F266" s="93"/>
      <x:c r="G266" s="93"/>
      <x:c r="H266" s="93"/>
      <x:c r="I266" s="93"/>
      <x:c r="J266" s="93"/>
    </x:row>
    <x:row r="267" s="92" customFormat="1" ht="7.900000095367432" customHeight="1">
      <x:c r="B267" s="93"/>
      <x:c r="C267" s="93"/>
      <x:c r="D267" s="93"/>
      <x:c r="E267" s="93"/>
      <x:c r="F267" s="93"/>
      <x:c r="G267" s="93"/>
      <x:c r="H267" s="93"/>
      <x:c r="I267" s="93"/>
      <x:c r="J267" s="93"/>
    </x:row>
    <x:row r="268" s="92" customFormat="1" ht="7.900000095367432" customHeight="1">
      <x:c r="B268" s="93"/>
      <x:c r="C268" s="93"/>
      <x:c r="D268" s="93"/>
      <x:c r="E268" s="93"/>
      <x:c r="F268" s="93"/>
      <x:c r="G268" s="93"/>
      <x:c r="H268" s="93"/>
      <x:c r="I268" s="93"/>
      <x:c r="J268" s="93"/>
    </x:row>
    <x:row r="269" s="92" customFormat="1" ht="7.900000095367432" customHeight="1">
      <x:c r="B269" s="93"/>
      <x:c r="C269" s="93"/>
      <x:c r="D269" s="93"/>
      <x:c r="E269" s="93"/>
      <x:c r="F269" s="93"/>
      <x:c r="G269" s="93"/>
      <x:c r="H269" s="93"/>
      <x:c r="I269" s="93"/>
      <x:c r="J269" s="93"/>
    </x:row>
    <x:row r="270" s="92" customFormat="1" ht="7.900000095367432" customHeight="1">
      <x:c r="B270" s="93"/>
      <x:c r="C270" s="93"/>
      <x:c r="D270" s="93"/>
      <x:c r="E270" s="93"/>
      <x:c r="F270" s="93"/>
      <x:c r="G270" s="93"/>
      <x:c r="H270" s="93"/>
      <x:c r="I270" s="93"/>
      <x:c r="J270" s="93"/>
    </x:row>
    <x:row r="271" s="92" customFormat="1" ht="7.900000095367432" customHeight="1">
      <x:c r="B271" s="93"/>
      <x:c r="C271" s="93"/>
      <x:c r="D271" s="93"/>
      <x:c r="E271" s="93"/>
      <x:c r="F271" s="93"/>
      <x:c r="G271" s="93"/>
      <x:c r="H271" s="93"/>
      <x:c r="I271" s="93"/>
      <x:c r="J271" s="93"/>
    </x:row>
    <x:row r="272" s="92" customFormat="1" ht="7.900000095367432" customHeight="1">
      <x:c r="B272" s="93"/>
      <x:c r="C272" s="93"/>
      <x:c r="D272" s="93"/>
      <x:c r="E272" s="93"/>
      <x:c r="F272" s="93"/>
      <x:c r="G272" s="93"/>
      <x:c r="H272" s="93"/>
      <x:c r="I272" s="93"/>
      <x:c r="J272" s="93"/>
    </x:row>
    <x:row r="273" s="92" customFormat="1" ht="7.900000095367432" customHeight="1">
      <x:c r="B273" s="93"/>
      <x:c r="C273" s="93"/>
      <x:c r="D273" s="93"/>
      <x:c r="E273" s="93"/>
      <x:c r="F273" s="93"/>
      <x:c r="G273" s="93"/>
      <x:c r="H273" s="93"/>
      <x:c r="I273" s="93"/>
      <x:c r="J273" s="93"/>
    </x:row>
    <x:row r="274" s="92" customFormat="1" ht="7.900000095367432" customHeight="1">
      <x:c r="B274" s="93"/>
      <x:c r="C274" s="93"/>
      <x:c r="D274" s="93"/>
      <x:c r="E274" s="93"/>
      <x:c r="F274" s="93"/>
      <x:c r="G274" s="93"/>
      <x:c r="H274" s="93"/>
      <x:c r="I274" s="93"/>
      <x:c r="J274" s="93"/>
    </x:row>
    <x:row r="275" s="92" customFormat="1" ht="7.900000095367432" customHeight="1">
      <x:c r="B275" s="93"/>
      <x:c r="C275" s="93"/>
      <x:c r="D275" s="93"/>
      <x:c r="E275" s="93"/>
      <x:c r="F275" s="93"/>
      <x:c r="G275" s="93"/>
      <x:c r="H275" s="93"/>
      <x:c r="I275" s="93"/>
      <x:c r="J275" s="93"/>
    </x:row>
    <x:row r="276" s="92" customFormat="1" ht="7.900000095367432" customHeight="1">
      <x:c r="B276" s="93"/>
      <x:c r="C276" s="93"/>
      <x:c r="D276" s="93"/>
      <x:c r="E276" s="93"/>
      <x:c r="F276" s="93"/>
      <x:c r="G276" s="93"/>
      <x:c r="H276" s="93"/>
      <x:c r="I276" s="93"/>
      <x:c r="J276" s="93"/>
    </x:row>
    <x:row r="277" s="92" customFormat="1" ht="7.900000095367432" customHeight="1">
      <x:c r="B277" s="93"/>
      <x:c r="C277" s="93"/>
      <x:c r="D277" s="93"/>
      <x:c r="E277" s="93"/>
      <x:c r="F277" s="93"/>
      <x:c r="G277" s="93"/>
      <x:c r="H277" s="93"/>
      <x:c r="I277" s="93"/>
      <x:c r="J277" s="93"/>
    </x:row>
    <x:row r="278" s="92" customFormat="1" ht="7.900000095367432" customHeight="1">
      <x:c r="B278" s="93"/>
      <x:c r="C278" s="93"/>
      <x:c r="D278" s="93"/>
      <x:c r="E278" s="93"/>
      <x:c r="F278" s="93"/>
      <x:c r="G278" s="93"/>
      <x:c r="H278" s="93"/>
      <x:c r="I278" s="93"/>
      <x:c r="J278" s="93"/>
    </x:row>
    <x:row r="279" s="92" customFormat="1" ht="7.900000095367432" customHeight="1">
      <x:c r="B279" s="93"/>
      <x:c r="C279" s="93"/>
      <x:c r="D279" s="93"/>
      <x:c r="E279" s="93"/>
      <x:c r="F279" s="93"/>
      <x:c r="G279" s="93"/>
      <x:c r="H279" s="93"/>
      <x:c r="I279" s="93"/>
      <x:c r="J279" s="93"/>
    </x:row>
    <x:row r="280" s="92" customFormat="1" ht="7.900000095367432" customHeight="1">
      <x:c r="B280" s="93"/>
      <x:c r="C280" s="93"/>
      <x:c r="D280" s="93"/>
      <x:c r="E280" s="93"/>
      <x:c r="F280" s="93"/>
      <x:c r="G280" s="93"/>
      <x:c r="H280" s="93"/>
      <x:c r="I280" s="93"/>
      <x:c r="J280" s="93"/>
    </x:row>
    <x:row r="281" s="92" customFormat="1" ht="7.900000095367432" customHeight="1">
      <x:c r="B281" s="93"/>
      <x:c r="C281" s="93"/>
      <x:c r="D281" s="93"/>
      <x:c r="E281" s="93"/>
      <x:c r="F281" s="93"/>
      <x:c r="G281" s="93"/>
      <x:c r="H281" s="93"/>
      <x:c r="I281" s="93"/>
      <x:c r="J281" s="93"/>
    </x:row>
    <x:row r="282" s="92" customFormat="1" ht="7.900000095367432" customHeight="1">
      <x:c r="B282" s="93"/>
      <x:c r="C282" s="93"/>
      <x:c r="D282" s="93"/>
      <x:c r="E282" s="93"/>
      <x:c r="F282" s="93"/>
      <x:c r="G282" s="93"/>
      <x:c r="H282" s="93"/>
      <x:c r="I282" s="93"/>
      <x:c r="J282" s="93"/>
    </x:row>
    <x:row r="283" s="92" customFormat="1" ht="7.900000095367432" customHeight="1">
      <x:c r="B283" s="93"/>
      <x:c r="C283" s="93"/>
      <x:c r="D283" s="93"/>
      <x:c r="E283" s="93"/>
      <x:c r="F283" s="93"/>
      <x:c r="G283" s="93"/>
      <x:c r="H283" s="93"/>
      <x:c r="I283" s="93"/>
      <x:c r="J283" s="93"/>
    </x:row>
    <x:row r="284" s="92" customFormat="1" ht="7.900000095367432" customHeight="1">
      <x:c r="B284" s="93"/>
      <x:c r="C284" s="93"/>
      <x:c r="D284" s="93"/>
      <x:c r="E284" s="93"/>
      <x:c r="F284" s="93"/>
      <x:c r="G284" s="93"/>
      <x:c r="H284" s="93"/>
      <x:c r="I284" s="93"/>
      <x:c r="J284" s="93"/>
    </x:row>
    <x:row r="285" s="92" customFormat="1" ht="7.900000095367432" customHeight="1">
      <x:c r="B285" s="93"/>
      <x:c r="C285" s="93"/>
      <x:c r="D285" s="93"/>
      <x:c r="E285" s="93"/>
      <x:c r="F285" s="93"/>
      <x:c r="G285" s="93"/>
      <x:c r="H285" s="93"/>
      <x:c r="I285" s="93"/>
      <x:c r="J285" s="93"/>
    </x:row>
    <x:row r="286" s="92" customFormat="1" ht="7.900000095367432" customHeight="1">
      <x:c r="B286" s="93"/>
      <x:c r="C286" s="93"/>
      <x:c r="D286" s="93"/>
      <x:c r="E286" s="93"/>
      <x:c r="F286" s="93"/>
      <x:c r="G286" s="93"/>
      <x:c r="H286" s="93"/>
      <x:c r="I286" s="93"/>
      <x:c r="J286" s="93"/>
    </x:row>
    <x:row r="287" s="92" customFormat="1" ht="7.900000095367432" customHeight="1">
      <x:c r="B287" s="93"/>
      <x:c r="C287" s="93"/>
      <x:c r="D287" s="93"/>
      <x:c r="E287" s="93"/>
      <x:c r="F287" s="93"/>
      <x:c r="G287" s="93"/>
      <x:c r="H287" s="93"/>
      <x:c r="I287" s="93"/>
      <x:c r="J287" s="93"/>
    </x:row>
    <x:row r="288" s="92" customFormat="1" ht="7.900000095367432" customHeight="1">
      <x:c r="B288" s="93"/>
      <x:c r="C288" s="93"/>
      <x:c r="D288" s="93"/>
      <x:c r="E288" s="93"/>
      <x:c r="F288" s="93"/>
      <x:c r="G288" s="93"/>
      <x:c r="H288" s="93"/>
      <x:c r="I288" s="93"/>
      <x:c r="J288" s="93"/>
    </x:row>
    <x:row r="289" s="92" customFormat="1" ht="7.900000095367432" customHeight="1">
      <x:c r="B289" s="93"/>
      <x:c r="C289" s="93"/>
      <x:c r="D289" s="93"/>
      <x:c r="E289" s="93"/>
      <x:c r="F289" s="93"/>
      <x:c r="G289" s="93"/>
      <x:c r="H289" s="93"/>
      <x:c r="I289" s="93"/>
      <x:c r="J289" s="93"/>
    </x:row>
    <x:row r="290" s="92" customFormat="1" ht="7.900000095367432" customHeight="1">
      <x:c r="B290" s="93"/>
      <x:c r="C290" s="93"/>
      <x:c r="D290" s="93"/>
      <x:c r="E290" s="93"/>
      <x:c r="F290" s="93"/>
      <x:c r="G290" s="93"/>
      <x:c r="H290" s="93"/>
      <x:c r="I290" s="93"/>
      <x:c r="J290" s="93"/>
    </x:row>
    <x:row r="291" s="92" customFormat="1" ht="7.900000095367432" customHeight="1">
      <x:c r="B291" s="93"/>
      <x:c r="C291" s="93"/>
      <x:c r="D291" s="93"/>
      <x:c r="E291" s="93"/>
      <x:c r="F291" s="93"/>
      <x:c r="G291" s="93"/>
      <x:c r="H291" s="93"/>
      <x:c r="I291" s="93"/>
      <x:c r="J291" s="93"/>
    </x:row>
    <x:row r="292" s="92" customFormat="1" ht="7.900000095367432" customHeight="1">
      <x:c r="B292" s="93"/>
      <x:c r="C292" s="93"/>
      <x:c r="D292" s="93"/>
      <x:c r="E292" s="93"/>
      <x:c r="F292" s="93"/>
      <x:c r="G292" s="93"/>
      <x:c r="H292" s="93"/>
      <x:c r="I292" s="93"/>
      <x:c r="J292" s="93"/>
    </x:row>
    <x:row r="293" s="92" customFormat="1" ht="7.900000095367432" customHeight="1">
      <x:c r="B293" s="93"/>
      <x:c r="C293" s="93"/>
      <x:c r="D293" s="93"/>
      <x:c r="E293" s="93"/>
      <x:c r="F293" s="93"/>
      <x:c r="G293" s="93"/>
      <x:c r="H293" s="93"/>
      <x:c r="I293" s="93"/>
      <x:c r="J293" s="93"/>
    </x:row>
    <x:row r="294" s="92" customFormat="1" ht="7.900000095367432" customHeight="1">
      <x:c r="B294" s="93"/>
      <x:c r="C294" s="93"/>
      <x:c r="D294" s="93"/>
      <x:c r="E294" s="93"/>
      <x:c r="F294" s="93"/>
      <x:c r="G294" s="93"/>
      <x:c r="H294" s="93"/>
      <x:c r="I294" s="93"/>
      <x:c r="J294" s="93"/>
    </x:row>
    <x:row r="295" s="92" customFormat="1" ht="7.900000095367432" customHeight="1">
      <x:c r="B295" s="93"/>
      <x:c r="C295" s="93"/>
      <x:c r="D295" s="93"/>
      <x:c r="E295" s="93"/>
      <x:c r="F295" s="93"/>
      <x:c r="G295" s="93"/>
      <x:c r="H295" s="93"/>
      <x:c r="I295" s="93"/>
      <x:c r="J295" s="93"/>
    </x:row>
    <x:row r="296" s="92" customFormat="1" ht="7.900000095367432" customHeight="1">
      <x:c r="B296" s="93"/>
      <x:c r="C296" s="93"/>
      <x:c r="D296" s="93"/>
      <x:c r="E296" s="93"/>
      <x:c r="F296" s="93"/>
      <x:c r="G296" s="93"/>
      <x:c r="H296" s="93"/>
      <x:c r="I296" s="93"/>
      <x:c r="J296" s="93"/>
    </x:row>
    <x:row r="297" s="92" customFormat="1" ht="7.900000095367432" customHeight="1">
      <x:c r="B297" s="93"/>
      <x:c r="C297" s="93"/>
      <x:c r="D297" s="93"/>
      <x:c r="E297" s="93"/>
      <x:c r="F297" s="93"/>
      <x:c r="G297" s="93"/>
      <x:c r="H297" s="93"/>
      <x:c r="I297" s="93"/>
      <x:c r="J297" s="93"/>
    </x:row>
    <x:row r="298" s="92" customFormat="1" ht="7.900000095367432" customHeight="1">
      <x:c r="B298" s="93"/>
      <x:c r="C298" s="93"/>
      <x:c r="D298" s="93"/>
      <x:c r="E298" s="93"/>
      <x:c r="F298" s="93"/>
      <x:c r="G298" s="93"/>
      <x:c r="H298" s="93"/>
      <x:c r="I298" s="93"/>
      <x:c r="J298" s="93"/>
    </x:row>
    <x:row r="299" s="92" customFormat="1" ht="7.900000095367432" customHeight="1">
      <x:c r="B299" s="93"/>
      <x:c r="C299" s="93"/>
      <x:c r="D299" s="93"/>
      <x:c r="E299" s="93"/>
      <x:c r="F299" s="93"/>
      <x:c r="G299" s="93"/>
      <x:c r="H299" s="93"/>
      <x:c r="I299" s="93"/>
      <x:c r="J299" s="93"/>
    </x:row>
    <x:row r="300" s="92" customFormat="1" ht="7.900000095367432" customHeight="1">
      <x:c r="B300" s="93"/>
      <x:c r="C300" s="93"/>
      <x:c r="D300" s="93"/>
      <x:c r="E300" s="93"/>
      <x:c r="F300" s="93"/>
      <x:c r="G300" s="93"/>
      <x:c r="H300" s="93"/>
      <x:c r="I300" s="93"/>
      <x:c r="J300" s="93"/>
    </x:row>
    <x:row r="301" s="92" customFormat="1" ht="7.900000095367432" customHeight="1">
      <x:c r="B301" s="93"/>
      <x:c r="C301" s="93"/>
      <x:c r="D301" s="93"/>
      <x:c r="E301" s="93"/>
      <x:c r="F301" s="93"/>
      <x:c r="G301" s="93"/>
      <x:c r="H301" s="93"/>
      <x:c r="I301" s="93"/>
      <x:c r="J301" s="93"/>
    </x:row>
    <x:row r="302" s="92" customFormat="1" ht="7.900000095367432" customHeight="1">
      <x:c r="B302" s="93"/>
      <x:c r="C302" s="93"/>
      <x:c r="D302" s="93"/>
      <x:c r="E302" s="93"/>
      <x:c r="F302" s="93"/>
      <x:c r="G302" s="93"/>
      <x:c r="H302" s="93"/>
      <x:c r="I302" s="93"/>
      <x:c r="J302" s="93"/>
    </x:row>
    <x:row r="303" s="92" customFormat="1" ht="7.900000095367432" customHeight="1">
      <x:c r="B303" s="93"/>
      <x:c r="C303" s="93"/>
      <x:c r="D303" s="93"/>
      <x:c r="E303" s="93"/>
      <x:c r="F303" s="93"/>
      <x:c r="G303" s="93"/>
      <x:c r="H303" s="93"/>
      <x:c r="I303" s="93"/>
      <x:c r="J303" s="93"/>
    </x:row>
    <x:row r="304" s="92" customFormat="1" ht="7.900000095367432" customHeight="1">
      <x:c r="B304" s="93"/>
      <x:c r="C304" s="93"/>
      <x:c r="D304" s="93"/>
      <x:c r="E304" s="93"/>
      <x:c r="F304" s="93"/>
      <x:c r="G304" s="93"/>
      <x:c r="H304" s="93"/>
      <x:c r="I304" s="93"/>
      <x:c r="J304" s="93"/>
    </x:row>
    <x:row r="305" s="92" customFormat="1" ht="7.900000095367432" customHeight="1">
      <x:c r="B305" s="93"/>
      <x:c r="C305" s="93"/>
      <x:c r="D305" s="93"/>
      <x:c r="E305" s="93"/>
      <x:c r="F305" s="93"/>
      <x:c r="G305" s="93"/>
      <x:c r="H305" s="93"/>
      <x:c r="I305" s="93"/>
      <x:c r="J305" s="93"/>
    </x:row>
    <x:row r="306" s="92" customFormat="1" ht="7.900000095367432" customHeight="1">
      <x:c r="B306" s="93"/>
      <x:c r="C306" s="93"/>
      <x:c r="D306" s="93"/>
      <x:c r="E306" s="93"/>
      <x:c r="F306" s="93"/>
      <x:c r="G306" s="93"/>
      <x:c r="H306" s="93"/>
      <x:c r="I306" s="93"/>
      <x:c r="J306" s="93"/>
    </x:row>
    <x:row r="307" s="92" customFormat="1" ht="7.900000095367432" customHeight="1">
      <x:c r="B307" s="93"/>
      <x:c r="C307" s="93"/>
      <x:c r="D307" s="93"/>
      <x:c r="E307" s="93"/>
      <x:c r="F307" s="93"/>
      <x:c r="G307" s="93"/>
      <x:c r="H307" s="93"/>
      <x:c r="I307" s="93"/>
      <x:c r="J307" s="93"/>
    </x:row>
    <x:row r="308" s="92" customFormat="1" ht="7.900000095367432" customHeight="1">
      <x:c r="B308" s="93"/>
      <x:c r="C308" s="93"/>
      <x:c r="D308" s="93"/>
      <x:c r="E308" s="93"/>
      <x:c r="F308" s="93"/>
      <x:c r="G308" s="93"/>
      <x:c r="H308" s="93"/>
      <x:c r="I308" s="93"/>
      <x:c r="J308" s="93"/>
    </x:row>
    <x:row r="309" s="92" customFormat="1" ht="7.900000095367432" customHeight="1">
      <x:c r="B309" s="93"/>
      <x:c r="C309" s="93"/>
      <x:c r="D309" s="93"/>
      <x:c r="E309" s="93"/>
      <x:c r="F309" s="93"/>
      <x:c r="G309" s="93"/>
      <x:c r="H309" s="93"/>
      <x:c r="I309" s="93"/>
      <x:c r="J309" s="93"/>
    </x:row>
    <x:row r="310" s="92" customFormat="1" ht="7.900000095367432" customHeight="1">
      <x:c r="B310" s="93"/>
      <x:c r="C310" s="93"/>
      <x:c r="D310" s="93"/>
      <x:c r="E310" s="93"/>
      <x:c r="F310" s="93"/>
      <x:c r="G310" s="93"/>
      <x:c r="H310" s="93"/>
      <x:c r="I310" s="93"/>
      <x:c r="J310" s="93"/>
    </x:row>
    <x:row r="311" s="92" customFormat="1" ht="7.900000095367432" customHeight="1">
      <x:c r="B311" s="93"/>
      <x:c r="C311" s="93"/>
      <x:c r="D311" s="93"/>
      <x:c r="E311" s="93"/>
      <x:c r="F311" s="93"/>
      <x:c r="G311" s="93"/>
      <x:c r="H311" s="93"/>
      <x:c r="I311" s="93"/>
      <x:c r="J311" s="93"/>
    </x:row>
    <x:row r="312" s="92" customFormat="1" ht="7.900000095367432" customHeight="1">
      <x:c r="B312" s="93"/>
      <x:c r="C312" s="93"/>
      <x:c r="D312" s="93"/>
      <x:c r="E312" s="93"/>
      <x:c r="F312" s="93"/>
      <x:c r="G312" s="93"/>
      <x:c r="H312" s="93"/>
      <x:c r="I312" s="93"/>
      <x:c r="J312" s="93"/>
    </x:row>
    <x:row r="313" s="92" customFormat="1" ht="7.900000095367432" customHeight="1">
      <x:c r="B313" s="93"/>
      <x:c r="C313" s="93"/>
      <x:c r="D313" s="93"/>
      <x:c r="E313" s="93"/>
      <x:c r="F313" s="93"/>
      <x:c r="G313" s="93"/>
      <x:c r="H313" s="93"/>
      <x:c r="I313" s="93"/>
      <x:c r="J313" s="93"/>
    </x:row>
    <x:row r="314" s="92" customFormat="1" ht="7.900000095367432" customHeight="1">
      <x:c r="B314" s="93"/>
      <x:c r="C314" s="93"/>
      <x:c r="D314" s="93"/>
      <x:c r="E314" s="93"/>
      <x:c r="F314" s="93"/>
      <x:c r="G314" s="93"/>
      <x:c r="H314" s="93"/>
      <x:c r="I314" s="93"/>
      <x:c r="J314" s="93"/>
    </x:row>
    <x:row r="315" s="92" customFormat="1" ht="7.900000095367432" customHeight="1">
      <x:c r="B315" s="93"/>
      <x:c r="C315" s="93"/>
      <x:c r="D315" s="93"/>
      <x:c r="E315" s="93"/>
      <x:c r="F315" s="93"/>
      <x:c r="G315" s="93"/>
      <x:c r="H315" s="93"/>
      <x:c r="I315" s="93"/>
      <x:c r="J315" s="93"/>
    </x:row>
    <x:row r="316" s="92" customFormat="1" ht="7.900000095367432" customHeight="1">
      <x:c r="B316" s="93"/>
      <x:c r="C316" s="93"/>
      <x:c r="D316" s="93"/>
      <x:c r="E316" s="93"/>
      <x:c r="F316" s="93"/>
      <x:c r="G316" s="93"/>
      <x:c r="H316" s="93"/>
      <x:c r="I316" s="93"/>
      <x:c r="J316" s="93"/>
    </x:row>
    <x:row r="317" s="92" customFormat="1" ht="7.900000095367432" customHeight="1">
      <x:c r="B317" s="93"/>
      <x:c r="C317" s="93"/>
      <x:c r="D317" s="93"/>
      <x:c r="E317" s="93"/>
      <x:c r="F317" s="93"/>
      <x:c r="G317" s="93"/>
      <x:c r="H317" s="93"/>
      <x:c r="I317" s="93"/>
      <x:c r="J317" s="93"/>
    </x:row>
    <x:row r="318" s="92" customFormat="1" ht="7.900000095367432" customHeight="1">
      <x:c r="B318" s="93"/>
      <x:c r="C318" s="93"/>
      <x:c r="D318" s="93"/>
      <x:c r="E318" s="93"/>
      <x:c r="F318" s="93"/>
      <x:c r="G318" s="93"/>
      <x:c r="H318" s="93"/>
      <x:c r="I318" s="93"/>
      <x:c r="J318" s="93"/>
    </x:row>
    <x:row r="319" s="92" customFormat="1" ht="7.900000095367432" customHeight="1">
      <x:c r="B319" s="93"/>
      <x:c r="C319" s="93"/>
      <x:c r="D319" s="93"/>
      <x:c r="E319" s="93"/>
      <x:c r="F319" s="93"/>
      <x:c r="G319" s="93"/>
      <x:c r="H319" s="93"/>
      <x:c r="I319" s="93"/>
      <x:c r="J319" s="93"/>
    </x:row>
    <x:row r="320" s="92" customFormat="1" ht="7.900000095367432" customHeight="1">
      <x:c r="B320" s="93"/>
      <x:c r="C320" s="93"/>
      <x:c r="D320" s="93"/>
      <x:c r="E320" s="93"/>
      <x:c r="F320" s="93"/>
      <x:c r="G320" s="93"/>
      <x:c r="H320" s="93"/>
      <x:c r="I320" s="93"/>
      <x:c r="J320" s="93"/>
    </x:row>
    <x:row r="321" s="92" customFormat="1" ht="7.900000095367432" customHeight="1">
      <x:c r="B321" s="93"/>
      <x:c r="C321" s="93"/>
      <x:c r="D321" s="93"/>
      <x:c r="E321" s="93"/>
      <x:c r="F321" s="93"/>
      <x:c r="G321" s="93"/>
      <x:c r="H321" s="93"/>
      <x:c r="I321" s="93"/>
      <x:c r="J321" s="93"/>
    </x:row>
    <x:row r="322" s="92" customFormat="1" ht="7.900000095367432" customHeight="1">
      <x:c r="B322" s="93"/>
      <x:c r="C322" s="93"/>
      <x:c r="D322" s="93"/>
      <x:c r="E322" s="93"/>
      <x:c r="F322" s="93"/>
      <x:c r="G322" s="93"/>
      <x:c r="H322" s="93"/>
      <x:c r="I322" s="93"/>
      <x:c r="J322" s="93"/>
    </x:row>
    <x:row r="323" s="92" customFormat="1" ht="7.900000095367432" customHeight="1">
      <x:c r="B323" s="93"/>
      <x:c r="C323" s="93"/>
      <x:c r="D323" s="93"/>
      <x:c r="E323" s="93"/>
      <x:c r="F323" s="93"/>
      <x:c r="G323" s="93"/>
      <x:c r="H323" s="93"/>
      <x:c r="I323" s="93"/>
      <x:c r="J323" s="93"/>
    </x:row>
    <x:row r="324" s="92" customFormat="1" ht="7.900000095367432" customHeight="1">
      <x:c r="B324" s="93"/>
      <x:c r="C324" s="93"/>
      <x:c r="D324" s="93"/>
      <x:c r="E324" s="93"/>
      <x:c r="F324" s="93"/>
      <x:c r="G324" s="93"/>
      <x:c r="H324" s="93"/>
      <x:c r="I324" s="93"/>
      <x:c r="J324" s="93"/>
    </x:row>
    <x:row r="325" s="92" customFormat="1" ht="7.900000095367432" customHeight="1">
      <x:c r="B325" s="93"/>
      <x:c r="C325" s="93"/>
      <x:c r="D325" s="93"/>
      <x:c r="E325" s="93"/>
      <x:c r="F325" s="93"/>
      <x:c r="G325" s="93"/>
      <x:c r="H325" s="93"/>
      <x:c r="I325" s="93"/>
      <x:c r="J325" s="93"/>
    </x:row>
    <x:row r="326" s="92" customFormat="1" ht="7.900000095367432" customHeight="1">
      <x:c r="B326" s="93"/>
      <x:c r="C326" s="93"/>
      <x:c r="D326" s="93"/>
      <x:c r="E326" s="93"/>
      <x:c r="F326" s="93"/>
      <x:c r="G326" s="93"/>
      <x:c r="H326" s="93"/>
      <x:c r="I326" s="93"/>
      <x:c r="J326" s="93"/>
    </x:row>
    <x:row r="327" s="92" customFormat="1" ht="7.900000095367432" customHeight="1">
      <x:c r="B327" s="93"/>
      <x:c r="C327" s="93"/>
      <x:c r="D327" s="93"/>
      <x:c r="E327" s="93"/>
      <x:c r="F327" s="93"/>
      <x:c r="G327" s="93"/>
      <x:c r="H327" s="93"/>
      <x:c r="I327" s="93"/>
      <x:c r="J327" s="93"/>
    </x:row>
    <x:row r="328" s="92" customFormat="1" ht="7.900000095367432" customHeight="1">
      <x:c r="B328" s="93"/>
      <x:c r="C328" s="93"/>
      <x:c r="D328" s="93"/>
      <x:c r="E328" s="93"/>
      <x:c r="F328" s="93"/>
      <x:c r="G328" s="93"/>
      <x:c r="H328" s="93"/>
      <x:c r="I328" s="93"/>
      <x:c r="J328" s="93"/>
    </x:row>
    <x:row r="329" s="92" customFormat="1" ht="7.900000095367432" customHeight="1">
      <x:c r="B329" s="93"/>
      <x:c r="C329" s="93"/>
      <x:c r="D329" s="93"/>
      <x:c r="E329" s="93"/>
      <x:c r="F329" s="93"/>
      <x:c r="G329" s="93"/>
      <x:c r="H329" s="93"/>
      <x:c r="I329" s="93"/>
      <x:c r="J329" s="93"/>
    </x:row>
    <x:row r="330" s="92" customFormat="1" ht="7.900000095367432" customHeight="1">
      <x:c r="B330" s="93"/>
      <x:c r="C330" s="93"/>
      <x:c r="D330" s="93"/>
      <x:c r="E330" s="93"/>
      <x:c r="F330" s="93"/>
      <x:c r="G330" s="93"/>
      <x:c r="H330" s="93"/>
      <x:c r="I330" s="93"/>
      <x:c r="J330" s="93"/>
    </x:row>
    <x:row r="331" s="92" customFormat="1" ht="7.900000095367432" customHeight="1">
      <x:c r="B331" s="93"/>
      <x:c r="C331" s="93"/>
      <x:c r="D331" s="93"/>
      <x:c r="E331" s="93"/>
      <x:c r="F331" s="93"/>
      <x:c r="G331" s="93"/>
      <x:c r="H331" s="93"/>
      <x:c r="I331" s="93"/>
      <x:c r="J331" s="93"/>
    </x:row>
    <x:row r="332" s="92" customFormat="1" ht="7.900000095367432" customHeight="1">
      <x:c r="B332" s="93"/>
      <x:c r="C332" s="93"/>
      <x:c r="D332" s="93"/>
      <x:c r="E332" s="93"/>
      <x:c r="F332" s="93"/>
      <x:c r="G332" s="93"/>
      <x:c r="H332" s="93"/>
      <x:c r="I332" s="93"/>
      <x:c r="J332" s="93"/>
    </x:row>
    <x:row r="333" s="92" customFormat="1" ht="7.900000095367432" customHeight="1">
      <x:c r="B333" s="93"/>
      <x:c r="C333" s="93"/>
      <x:c r="D333" s="93"/>
      <x:c r="E333" s="93"/>
      <x:c r="F333" s="93"/>
      <x:c r="G333" s="93"/>
      <x:c r="H333" s="93"/>
      <x:c r="I333" s="93"/>
      <x:c r="J333" s="93"/>
    </x:row>
    <x:row r="334" s="92" customFormat="1" ht="7.900000095367432" customHeight="1">
      <x:c r="B334" s="93"/>
      <x:c r="C334" s="93"/>
      <x:c r="D334" s="93"/>
      <x:c r="E334" s="93"/>
      <x:c r="F334" s="93"/>
      <x:c r="G334" s="93"/>
      <x:c r="H334" s="93"/>
      <x:c r="I334" s="93"/>
      <x:c r="J334" s="93"/>
    </x:row>
    <x:row r="335" s="92" customFormat="1" ht="7.900000095367432" customHeight="1">
      <x:c r="B335" s="93"/>
      <x:c r="C335" s="93"/>
      <x:c r="D335" s="93"/>
      <x:c r="E335" s="93"/>
      <x:c r="F335" s="93"/>
      <x:c r="G335" s="93"/>
      <x:c r="H335" s="93"/>
      <x:c r="I335" s="93"/>
      <x:c r="J335" s="93"/>
    </x:row>
    <x:row r="336" s="92" customFormat="1" ht="7.900000095367432" customHeight="1">
      <x:c r="B336" s="93"/>
      <x:c r="C336" s="93"/>
      <x:c r="D336" s="93"/>
      <x:c r="E336" s="93"/>
      <x:c r="F336" s="93"/>
      <x:c r="G336" s="93"/>
      <x:c r="H336" s="93"/>
      <x:c r="I336" s="93"/>
      <x:c r="J336" s="93"/>
    </x:row>
    <x:row r="337" s="92" customFormat="1" ht="7.900000095367432" customHeight="1">
      <x:c r="B337" s="93"/>
      <x:c r="C337" s="93"/>
      <x:c r="D337" s="93"/>
      <x:c r="E337" s="93"/>
      <x:c r="F337" s="93"/>
      <x:c r="G337" s="93"/>
      <x:c r="H337" s="93"/>
      <x:c r="I337" s="93"/>
      <x:c r="J337" s="93"/>
    </x:row>
    <x:row r="338" s="92" customFormat="1" ht="7.900000095367432" customHeight="1">
      <x:c r="B338" s="93"/>
      <x:c r="C338" s="93"/>
      <x:c r="D338" s="93"/>
      <x:c r="E338" s="93"/>
      <x:c r="F338" s="93"/>
      <x:c r="G338" s="93"/>
      <x:c r="H338" s="93"/>
      <x:c r="I338" s="93"/>
      <x:c r="J338" s="93"/>
    </x:row>
    <x:row r="339" s="92" customFormat="1" ht="7.900000095367432" customHeight="1">
      <x:c r="B339" s="93"/>
      <x:c r="C339" s="93"/>
      <x:c r="D339" s="93"/>
      <x:c r="E339" s="93"/>
      <x:c r="F339" s="93"/>
      <x:c r="G339" s="93"/>
      <x:c r="H339" s="93"/>
      <x:c r="I339" s="93"/>
      <x:c r="J339" s="93"/>
    </x:row>
    <x:row r="340" s="92" customFormat="1" ht="7.900000095367432" customHeight="1">
      <x:c r="B340" s="93"/>
      <x:c r="C340" s="93"/>
      <x:c r="D340" s="93"/>
      <x:c r="E340" s="93"/>
      <x:c r="F340" s="93"/>
      <x:c r="G340" s="93"/>
      <x:c r="H340" s="93"/>
      <x:c r="I340" s="93"/>
      <x:c r="J340" s="93"/>
    </x:row>
    <x:row r="341" s="92" customFormat="1" ht="7.900000095367432" customHeight="1">
      <x:c r="B341" s="93"/>
      <x:c r="C341" s="93"/>
      <x:c r="D341" s="93"/>
      <x:c r="E341" s="93"/>
      <x:c r="F341" s="93"/>
      <x:c r="G341" s="93"/>
      <x:c r="H341" s="93"/>
      <x:c r="I341" s="93"/>
      <x:c r="J341" s="93"/>
    </x:row>
    <x:row r="342" s="92" customFormat="1" ht="7.900000095367432" customHeight="1">
      <x:c r="B342" s="93"/>
      <x:c r="C342" s="93"/>
      <x:c r="D342" s="93"/>
      <x:c r="E342" s="93"/>
      <x:c r="F342" s="93"/>
      <x:c r="G342" s="93"/>
      <x:c r="H342" s="93"/>
      <x:c r="I342" s="93"/>
      <x:c r="J342" s="93"/>
    </x:row>
    <x:row r="343" s="92" customFormat="1" ht="7.900000095367432" customHeight="1">
      <x:c r="B343" s="93"/>
      <x:c r="C343" s="93"/>
      <x:c r="D343" s="93"/>
      <x:c r="E343" s="93"/>
      <x:c r="F343" s="93"/>
      <x:c r="G343" s="93"/>
      <x:c r="H343" s="93"/>
      <x:c r="I343" s="93"/>
      <x:c r="J343" s="93"/>
    </x:row>
    <x:row r="344" s="92" customFormat="1" ht="7.900000095367432" customHeight="1">
      <x:c r="B344" s="93"/>
      <x:c r="C344" s="93"/>
      <x:c r="D344" s="93"/>
      <x:c r="E344" s="93"/>
      <x:c r="F344" s="93"/>
      <x:c r="G344" s="93"/>
      <x:c r="H344" s="93"/>
      <x:c r="I344" s="93"/>
      <x:c r="J344" s="93"/>
    </x:row>
    <x:row r="345" s="92" customFormat="1" ht="7.900000095367432" customHeight="1">
      <x:c r="B345" s="93"/>
      <x:c r="C345" s="93"/>
      <x:c r="D345" s="93"/>
      <x:c r="E345" s="93"/>
      <x:c r="F345" s="93"/>
      <x:c r="G345" s="93"/>
      <x:c r="H345" s="93"/>
      <x:c r="I345" s="93"/>
      <x:c r="J345" s="93"/>
    </x:row>
    <x:row r="346" s="92" customFormat="1" ht="7.900000095367432" customHeight="1">
      <x:c r="B346" s="93"/>
      <x:c r="C346" s="93"/>
      <x:c r="D346" s="93"/>
      <x:c r="E346" s="93"/>
      <x:c r="F346" s="93"/>
      <x:c r="G346" s="93"/>
      <x:c r="H346" s="93"/>
      <x:c r="I346" s="93"/>
      <x:c r="J346" s="93"/>
    </x:row>
    <x:row r="347" s="92" customFormat="1" ht="7.900000095367432" customHeight="1">
      <x:c r="B347" s="93"/>
      <x:c r="C347" s="93"/>
      <x:c r="D347" s="93"/>
      <x:c r="E347" s="93"/>
      <x:c r="F347" s="93"/>
      <x:c r="G347" s="93"/>
      <x:c r="H347" s="93"/>
      <x:c r="I347" s="93"/>
      <x:c r="J347" s="93"/>
    </x:row>
    <x:row r="348" s="92" customFormat="1" ht="7.900000095367432" customHeight="1">
      <x:c r="B348" s="93"/>
      <x:c r="C348" s="93"/>
      <x:c r="D348" s="93"/>
      <x:c r="E348" s="93"/>
      <x:c r="F348" s="93"/>
      <x:c r="G348" s="93"/>
      <x:c r="H348" s="93"/>
      <x:c r="I348" s="93"/>
      <x:c r="J348" s="93"/>
    </x:row>
    <x:row r="349" s="92" customFormat="1" ht="7.900000095367432" customHeight="1">
      <x:c r="B349" s="93"/>
      <x:c r="C349" s="93"/>
      <x:c r="D349" s="93"/>
      <x:c r="E349" s="93"/>
      <x:c r="F349" s="93"/>
      <x:c r="G349" s="93"/>
      <x:c r="H349" s="93"/>
      <x:c r="I349" s="93"/>
      <x:c r="J349" s="93"/>
    </x:row>
    <x:row r="350" s="92" customFormat="1" ht="7.900000095367432" customHeight="1">
      <x:c r="B350" s="93"/>
      <x:c r="C350" s="93"/>
      <x:c r="D350" s="93"/>
      <x:c r="E350" s="93"/>
      <x:c r="F350" s="93"/>
      <x:c r="G350" s="93"/>
      <x:c r="H350" s="93"/>
      <x:c r="I350" s="93"/>
      <x:c r="J350" s="93"/>
    </x:row>
    <x:row r="351" s="92" customFormat="1" ht="7.900000095367432" customHeight="1">
      <x:c r="B351" s="93"/>
      <x:c r="C351" s="93"/>
      <x:c r="D351" s="93"/>
      <x:c r="E351" s="93"/>
      <x:c r="F351" s="93"/>
      <x:c r="G351" s="93"/>
      <x:c r="H351" s="93"/>
      <x:c r="I351" s="93"/>
      <x:c r="J351" s="93"/>
    </x:row>
    <x:row r="352" s="92" customFormat="1" ht="7.900000095367432" customHeight="1">
      <x:c r="B352" s="93"/>
      <x:c r="C352" s="93"/>
      <x:c r="D352" s="93"/>
      <x:c r="E352" s="93"/>
      <x:c r="F352" s="93"/>
      <x:c r="G352" s="93"/>
      <x:c r="H352" s="93"/>
      <x:c r="I352" s="93"/>
      <x:c r="J352" s="93"/>
    </x:row>
    <x:row r="353" s="92" customFormat="1" ht="7.900000095367432" customHeight="1">
      <x:c r="B353" s="93"/>
      <x:c r="C353" s="93"/>
      <x:c r="D353" s="93"/>
      <x:c r="E353" s="93"/>
      <x:c r="F353" s="93"/>
      <x:c r="G353" s="93"/>
      <x:c r="H353" s="93"/>
      <x:c r="I353" s="93"/>
      <x:c r="J353" s="93"/>
    </x:row>
    <x:row r="354" s="92" customFormat="1" ht="7.900000095367432" customHeight="1">
      <x:c r="B354" s="93"/>
      <x:c r="C354" s="93"/>
      <x:c r="D354" s="93"/>
      <x:c r="E354" s="93"/>
      <x:c r="F354" s="93"/>
      <x:c r="G354" s="93"/>
      <x:c r="H354" s="93"/>
      <x:c r="I354" s="93"/>
      <x:c r="J354" s="93"/>
    </x:row>
    <x:row r="355" s="92" customFormat="1" ht="7.900000095367432" customHeight="1">
      <x:c r="B355" s="93"/>
      <x:c r="C355" s="93"/>
      <x:c r="D355" s="93"/>
      <x:c r="E355" s="93"/>
      <x:c r="F355" s="93"/>
      <x:c r="G355" s="93"/>
      <x:c r="H355" s="93"/>
      <x:c r="I355" s="93"/>
      <x:c r="J355" s="93"/>
    </x:row>
    <x:row r="356" s="92" customFormat="1" ht="7.900000095367432" customHeight="1">
      <x:c r="B356" s="93"/>
      <x:c r="C356" s="93"/>
      <x:c r="D356" s="93"/>
      <x:c r="E356" s="93"/>
      <x:c r="F356" s="93"/>
      <x:c r="G356" s="93"/>
      <x:c r="H356" s="93"/>
      <x:c r="I356" s="93"/>
      <x:c r="J356" s="93"/>
    </x:row>
    <x:row r="357" s="92" customFormat="1" ht="7.900000095367432" customHeight="1">
      <x:c r="B357" s="93"/>
      <x:c r="C357" s="93"/>
      <x:c r="D357" s="93"/>
      <x:c r="E357" s="93"/>
      <x:c r="F357" s="93"/>
      <x:c r="G357" s="93"/>
      <x:c r="H357" s="93"/>
      <x:c r="I357" s="93"/>
      <x:c r="J357" s="93"/>
    </x:row>
    <x:row r="358" s="92" customFormat="1" ht="7.900000095367432" customHeight="1">
      <x:c r="B358" s="93"/>
      <x:c r="C358" s="93"/>
      <x:c r="D358" s="93"/>
      <x:c r="E358" s="93"/>
      <x:c r="F358" s="93"/>
      <x:c r="G358" s="93"/>
      <x:c r="H358" s="93"/>
      <x:c r="I358" s="93"/>
      <x:c r="J358" s="93"/>
    </x:row>
    <x:row r="359" s="92" customFormat="1" ht="7.900000095367432" customHeight="1">
      <x:c r="B359" s="93"/>
      <x:c r="C359" s="93"/>
      <x:c r="D359" s="93"/>
      <x:c r="E359" s="93"/>
      <x:c r="F359" s="93"/>
      <x:c r="G359" s="93"/>
      <x:c r="H359" s="93"/>
      <x:c r="I359" s="93"/>
      <x:c r="J359" s="93"/>
    </x:row>
    <x:row r="360" s="92" customFormat="1" ht="7.900000095367432" customHeight="1">
      <x:c r="B360" s="93"/>
      <x:c r="C360" s="93"/>
      <x:c r="D360" s="93"/>
      <x:c r="E360" s="93"/>
      <x:c r="F360" s="93"/>
      <x:c r="G360" s="93"/>
      <x:c r="H360" s="93"/>
      <x:c r="I360" s="93"/>
      <x:c r="J360" s="93"/>
    </x:row>
    <x:row r="361" s="92" customFormat="1" ht="7.900000095367432" customHeight="1">
      <x:c r="B361" s="93"/>
      <x:c r="C361" s="93"/>
      <x:c r="D361" s="93"/>
      <x:c r="E361" s="93"/>
      <x:c r="F361" s="93"/>
      <x:c r="G361" s="93"/>
      <x:c r="H361" s="93"/>
      <x:c r="I361" s="93"/>
      <x:c r="J361" s="93"/>
    </x:row>
    <x:row r="362" s="92" customFormat="1" ht="7.900000095367432" customHeight="1">
      <x:c r="B362" s="93"/>
      <x:c r="C362" s="93"/>
      <x:c r="D362" s="93"/>
      <x:c r="E362" s="93"/>
      <x:c r="F362" s="93"/>
      <x:c r="G362" s="93"/>
      <x:c r="H362" s="93"/>
      <x:c r="I362" s="93"/>
      <x:c r="J362" s="93"/>
    </x:row>
    <x:row r="363" s="92" customFormat="1" ht="7.900000095367432" customHeight="1">
      <x:c r="B363" s="93"/>
      <x:c r="C363" s="93"/>
      <x:c r="D363" s="93"/>
      <x:c r="E363" s="93"/>
      <x:c r="F363" s="93"/>
      <x:c r="G363" s="93"/>
      <x:c r="H363" s="93"/>
      <x:c r="I363" s="93"/>
      <x:c r="J363" s="93"/>
    </x:row>
    <x:row r="364" s="92" customFormat="1" ht="7.900000095367432" customHeight="1">
      <x:c r="B364" s="93"/>
      <x:c r="C364" s="93"/>
      <x:c r="D364" s="93"/>
      <x:c r="E364" s="93"/>
      <x:c r="F364" s="93"/>
      <x:c r="G364" s="93"/>
      <x:c r="H364" s="93"/>
      <x:c r="I364" s="93"/>
      <x:c r="J364" s="93"/>
    </x:row>
    <x:row r="365" s="92" customFormat="1" ht="7.900000095367432" customHeight="1">
      <x:c r="B365" s="93"/>
      <x:c r="C365" s="93"/>
      <x:c r="D365" s="93"/>
      <x:c r="E365" s="93"/>
      <x:c r="F365" s="93"/>
      <x:c r="G365" s="93"/>
      <x:c r="H365" s="93"/>
      <x:c r="I365" s="93"/>
      <x:c r="J365" s="93"/>
    </x:row>
    <x:row r="366" s="92" customFormat="1" ht="7.900000095367432" customHeight="1">
      <x:c r="B366" s="93"/>
      <x:c r="C366" s="93"/>
      <x:c r="D366" s="93"/>
      <x:c r="E366" s="93"/>
      <x:c r="F366" s="93"/>
      <x:c r="G366" s="93"/>
      <x:c r="H366" s="93"/>
      <x:c r="I366" s="93"/>
      <x:c r="J366" s="93"/>
    </x:row>
    <x:row r="367" s="92" customFormat="1" ht="7.900000095367432" customHeight="1">
      <x:c r="B367" s="93"/>
      <x:c r="C367" s="93"/>
      <x:c r="D367" s="93"/>
      <x:c r="E367" s="93"/>
      <x:c r="F367" s="93"/>
      <x:c r="G367" s="93"/>
      <x:c r="H367" s="93"/>
      <x:c r="I367" s="93"/>
      <x:c r="J367" s="93"/>
    </x:row>
    <x:row r="368" s="92" customFormat="1" ht="7.900000095367432" customHeight="1">
      <x:c r="B368" s="93"/>
      <x:c r="C368" s="93"/>
      <x:c r="D368" s="93"/>
      <x:c r="E368" s="93"/>
      <x:c r="F368" s="93"/>
      <x:c r="G368" s="93"/>
      <x:c r="H368" s="93"/>
      <x:c r="I368" s="93"/>
      <x:c r="J368" s="93"/>
    </x:row>
    <x:row r="369" s="92" customFormat="1" ht="7.900000095367432" customHeight="1">
      <x:c r="B369" s="93"/>
      <x:c r="C369" s="93"/>
      <x:c r="D369" s="93"/>
      <x:c r="E369" s="93"/>
      <x:c r="F369" s="93"/>
      <x:c r="G369" s="93"/>
      <x:c r="H369" s="93"/>
      <x:c r="I369" s="93"/>
      <x:c r="J369" s="93"/>
    </x:row>
    <x:row r="370" s="92" customFormat="1" ht="7.900000095367432" customHeight="1">
      <x:c r="B370" s="93"/>
      <x:c r="C370" s="93"/>
      <x:c r="D370" s="93"/>
      <x:c r="E370" s="93"/>
      <x:c r="F370" s="93"/>
      <x:c r="G370" s="93"/>
      <x:c r="H370" s="93"/>
      <x:c r="I370" s="93"/>
      <x:c r="J370" s="93"/>
    </x:row>
    <x:row r="371" s="92" customFormat="1" ht="7.900000095367432" customHeight="1">
      <x:c r="B371" s="93"/>
      <x:c r="C371" s="93"/>
      <x:c r="D371" s="93"/>
      <x:c r="E371" s="93"/>
      <x:c r="F371" s="93"/>
      <x:c r="G371" s="93"/>
      <x:c r="H371" s="93"/>
      <x:c r="I371" s="93"/>
      <x:c r="J371" s="93"/>
    </x:row>
    <x:row r="372" s="92" customFormat="1" ht="7.900000095367432" customHeight="1">
      <x:c r="B372" s="93"/>
      <x:c r="C372" s="93"/>
      <x:c r="D372" s="93"/>
      <x:c r="E372" s="93"/>
      <x:c r="F372" s="93"/>
      <x:c r="G372" s="93"/>
      <x:c r="H372" s="93"/>
      <x:c r="I372" s="93"/>
      <x:c r="J372" s="93"/>
    </x:row>
    <x:row r="373" s="92" customFormat="1" ht="7.900000095367432" customHeight="1">
      <x:c r="B373" s="93"/>
      <x:c r="C373" s="93"/>
      <x:c r="D373" s="93"/>
      <x:c r="E373" s="93"/>
      <x:c r="F373" s="93"/>
      <x:c r="G373" s="93"/>
      <x:c r="H373" s="93"/>
      <x:c r="I373" s="93"/>
      <x:c r="J373" s="93"/>
    </x:row>
    <x:row r="374" s="92" customFormat="1" ht="7.900000095367432" customHeight="1">
      <x:c r="B374" s="93"/>
      <x:c r="C374" s="93"/>
      <x:c r="D374" s="93"/>
      <x:c r="E374" s="93"/>
      <x:c r="F374" s="93"/>
      <x:c r="G374" s="93"/>
      <x:c r="H374" s="93"/>
      <x:c r="I374" s="93"/>
      <x:c r="J374" s="93"/>
    </x:row>
    <x:row r="375" s="92" customFormat="1" ht="7.900000095367432" customHeight="1">
      <x:c r="B375" s="93"/>
      <x:c r="C375" s="93"/>
      <x:c r="D375" s="93"/>
      <x:c r="E375" s="93"/>
      <x:c r="F375" s="93"/>
      <x:c r="G375" s="93"/>
      <x:c r="H375" s="93"/>
      <x:c r="I375" s="93"/>
      <x:c r="J375" s="93"/>
    </x:row>
    <x:row r="376" s="92" customFormat="1" ht="7.900000095367432" customHeight="1">
      <x:c r="B376" s="93"/>
      <x:c r="C376" s="93"/>
      <x:c r="D376" s="93"/>
      <x:c r="E376" s="93"/>
      <x:c r="F376" s="93"/>
      <x:c r="G376" s="93"/>
      <x:c r="H376" s="93"/>
      <x:c r="I376" s="93"/>
      <x:c r="J376" s="93"/>
    </x:row>
    <x:row r="377" s="92" customFormat="1" ht="7.900000095367432" customHeight="1">
      <x:c r="B377" s="93"/>
      <x:c r="C377" s="93"/>
      <x:c r="D377" s="93"/>
      <x:c r="E377" s="93"/>
      <x:c r="F377" s="93"/>
      <x:c r="G377" s="93"/>
      <x:c r="H377" s="93"/>
      <x:c r="I377" s="93"/>
      <x:c r="J377" s="93"/>
    </x:row>
    <x:row r="378" s="92" customFormat="1" ht="7.900000095367432" customHeight="1">
      <x:c r="B378" s="93"/>
      <x:c r="C378" s="93"/>
      <x:c r="D378" s="93"/>
      <x:c r="E378" s="93"/>
      <x:c r="F378" s="93"/>
      <x:c r="G378" s="93"/>
      <x:c r="H378" s="93"/>
      <x:c r="I378" s="93"/>
      <x:c r="J378" s="93"/>
    </x:row>
    <x:row r="379" s="92" customFormat="1" ht="7.900000095367432" customHeight="1">
      <x:c r="B379" s="93"/>
      <x:c r="C379" s="93"/>
      <x:c r="D379" s="93"/>
      <x:c r="E379" s="93"/>
      <x:c r="F379" s="93"/>
      <x:c r="G379" s="93"/>
      <x:c r="H379" s="93"/>
      <x:c r="I379" s="93"/>
      <x:c r="J379" s="93"/>
    </x:row>
    <x:row r="380" s="92" customFormat="1" ht="7.900000095367432" customHeight="1">
      <x:c r="B380" s="93"/>
      <x:c r="C380" s="93"/>
      <x:c r="D380" s="93"/>
      <x:c r="E380" s="93"/>
      <x:c r="F380" s="93"/>
      <x:c r="G380" s="93"/>
      <x:c r="H380" s="93"/>
      <x:c r="I380" s="93"/>
      <x:c r="J380" s="93"/>
    </x:row>
    <x:row r="381" s="92" customFormat="1" ht="7.900000095367432" customHeight="1">
      <x:c r="B381" s="93"/>
      <x:c r="C381" s="93"/>
      <x:c r="D381" s="93"/>
      <x:c r="E381" s="93"/>
      <x:c r="F381" s="93"/>
      <x:c r="G381" s="93"/>
      <x:c r="H381" s="93"/>
      <x:c r="I381" s="93"/>
      <x:c r="J381" s="93"/>
    </x:row>
    <x:row r="382" s="92" customFormat="1" ht="7.900000095367432" customHeight="1">
      <x:c r="B382" s="93"/>
      <x:c r="C382" s="93"/>
      <x:c r="D382" s="93"/>
      <x:c r="E382" s="93"/>
      <x:c r="F382" s="93"/>
      <x:c r="G382" s="93"/>
      <x:c r="H382" s="93"/>
      <x:c r="I382" s="93"/>
      <x:c r="J382" s="93"/>
    </x:row>
    <x:row r="383" s="92" customFormat="1" ht="7.900000095367432" customHeight="1">
      <x:c r="B383" s="93"/>
      <x:c r="C383" s="93"/>
      <x:c r="D383" s="93"/>
      <x:c r="E383" s="93"/>
      <x:c r="F383" s="93"/>
      <x:c r="G383" s="93"/>
      <x:c r="H383" s="93"/>
      <x:c r="I383" s="93"/>
      <x:c r="J383" s="93"/>
    </x:row>
    <x:row r="384" s="92" customFormat="1" ht="7.900000095367432" customHeight="1">
      <x:c r="B384" s="93"/>
      <x:c r="C384" s="93"/>
      <x:c r="D384" s="93"/>
      <x:c r="E384" s="93"/>
      <x:c r="F384" s="93"/>
      <x:c r="G384" s="93"/>
      <x:c r="H384" s="93"/>
      <x:c r="I384" s="93"/>
      <x:c r="J384" s="93"/>
    </x:row>
    <x:row r="385" s="92" customFormat="1" ht="7.900000095367432" customHeight="1">
      <x:c r="B385" s="93"/>
      <x:c r="C385" s="93"/>
      <x:c r="D385" s="93"/>
      <x:c r="E385" s="93"/>
      <x:c r="F385" s="93"/>
      <x:c r="G385" s="93"/>
      <x:c r="H385" s="93"/>
      <x:c r="I385" s="93"/>
      <x:c r="J385" s="93"/>
    </x:row>
    <x:row r="386" s="92" customFormat="1" ht="7.900000095367432" customHeight="1">
      <x:c r="B386" s="93"/>
      <x:c r="C386" s="93"/>
      <x:c r="D386" s="93"/>
      <x:c r="E386" s="93"/>
      <x:c r="F386" s="93"/>
      <x:c r="G386" s="93"/>
      <x:c r="H386" s="93"/>
      <x:c r="I386" s="93"/>
      <x:c r="J386" s="93"/>
    </x:row>
    <x:row r="387" s="92" customFormat="1" ht="7.900000095367432" customHeight="1">
      <x:c r="B387" s="93"/>
      <x:c r="C387" s="93"/>
      <x:c r="D387" s="93"/>
      <x:c r="E387" s="93"/>
      <x:c r="F387" s="93"/>
      <x:c r="G387" s="93"/>
      <x:c r="H387" s="93"/>
      <x:c r="I387" s="93"/>
      <x:c r="J387" s="93"/>
    </x:row>
    <x:row r="388" s="92" customFormat="1" ht="7.900000095367432" customHeight="1">
      <x:c r="B388" s="93"/>
      <x:c r="C388" s="93"/>
      <x:c r="D388" s="93"/>
      <x:c r="E388" s="93"/>
      <x:c r="F388" s="93"/>
      <x:c r="G388" s="93"/>
      <x:c r="H388" s="93"/>
      <x:c r="I388" s="93"/>
      <x:c r="J388" s="93"/>
    </x:row>
    <x:row r="389" s="92" customFormat="1" ht="7.900000095367432" customHeight="1">
      <x:c r="B389" s="93"/>
      <x:c r="C389" s="93"/>
      <x:c r="D389" s="93"/>
      <x:c r="E389" s="93"/>
      <x:c r="F389" s="93"/>
      <x:c r="G389" s="93"/>
      <x:c r="H389" s="93"/>
      <x:c r="I389" s="93"/>
      <x:c r="J389" s="93"/>
    </x:row>
    <x:row r="390" s="92" customFormat="1" ht="7.900000095367432" customHeight="1">
      <x:c r="B390" s="93"/>
      <x:c r="C390" s="93"/>
      <x:c r="D390" s="93"/>
      <x:c r="E390" s="93"/>
      <x:c r="F390" s="93"/>
      <x:c r="G390" s="93"/>
      <x:c r="H390" s="93"/>
      <x:c r="I390" s="93"/>
      <x:c r="J390" s="93"/>
    </x:row>
    <x:row r="391" s="92" customFormat="1" ht="7.900000095367432" customHeight="1">
      <x:c r="B391" s="93"/>
      <x:c r="C391" s="93"/>
      <x:c r="D391" s="93"/>
      <x:c r="E391" s="93"/>
      <x:c r="F391" s="93"/>
      <x:c r="G391" s="93"/>
      <x:c r="H391" s="93"/>
      <x:c r="I391" s="93"/>
      <x:c r="J391" s="93"/>
    </x:row>
    <x:row r="392" s="92" customFormat="1" ht="7.900000095367432" customHeight="1">
      <x:c r="B392" s="93"/>
      <x:c r="C392" s="93"/>
      <x:c r="D392" s="93"/>
      <x:c r="E392" s="93"/>
      <x:c r="F392" s="93"/>
      <x:c r="G392" s="93"/>
      <x:c r="H392" s="93"/>
      <x:c r="I392" s="93"/>
      <x:c r="J392" s="93"/>
    </x:row>
    <x:row r="393" s="92" customFormat="1" ht="7.900000095367432" customHeight="1">
      <x:c r="B393" s="93"/>
      <x:c r="C393" s="93"/>
      <x:c r="D393" s="93"/>
      <x:c r="E393" s="93"/>
      <x:c r="F393" s="93"/>
      <x:c r="G393" s="93"/>
      <x:c r="H393" s="93"/>
      <x:c r="I393" s="93"/>
      <x:c r="J393" s="93"/>
    </x:row>
    <x:row r="394" s="92" customFormat="1" ht="7.900000095367432" customHeight="1">
      <x:c r="B394" s="93"/>
      <x:c r="C394" s="93"/>
      <x:c r="D394" s="93"/>
      <x:c r="E394" s="93"/>
      <x:c r="F394" s="93"/>
      <x:c r="G394" s="93"/>
      <x:c r="H394" s="93"/>
      <x:c r="I394" s="93"/>
      <x:c r="J394" s="93"/>
    </x:row>
    <x:row r="395" s="92" customFormat="1" ht="7.900000095367432" customHeight="1">
      <x:c r="B395" s="93"/>
      <x:c r="C395" s="93"/>
      <x:c r="D395" s="93"/>
      <x:c r="E395" s="93"/>
      <x:c r="F395" s="93"/>
      <x:c r="G395" s="93"/>
      <x:c r="H395" s="93"/>
      <x:c r="I395" s="93"/>
      <x:c r="J395" s="93"/>
    </x:row>
    <x:row r="396" s="92" customFormat="1" ht="7.900000095367432" customHeight="1">
      <x:c r="B396" s="93"/>
      <x:c r="C396" s="93"/>
      <x:c r="D396" s="93"/>
      <x:c r="E396" s="93"/>
      <x:c r="F396" s="93"/>
      <x:c r="G396" s="93"/>
      <x:c r="H396" s="93"/>
      <x:c r="I396" s="93"/>
      <x:c r="J396" s="93"/>
    </x:row>
    <x:row r="397" s="92" customFormat="1" ht="7.900000095367432" customHeight="1">
      <x:c r="B397" s="93"/>
      <x:c r="C397" s="93"/>
      <x:c r="D397" s="93"/>
      <x:c r="E397" s="93"/>
      <x:c r="F397" s="93"/>
      <x:c r="G397" s="93"/>
      <x:c r="H397" s="93"/>
      <x:c r="I397" s="93"/>
      <x:c r="J397" s="93"/>
    </x:row>
    <x:row r="398" s="92" customFormat="1" ht="7.900000095367432" customHeight="1">
      <x:c r="B398" s="93"/>
      <x:c r="C398" s="93"/>
      <x:c r="D398" s="93"/>
      <x:c r="E398" s="93"/>
      <x:c r="F398" s="93"/>
      <x:c r="G398" s="93"/>
      <x:c r="H398" s="93"/>
      <x:c r="I398" s="93"/>
      <x:c r="J398" s="93"/>
    </x:row>
    <x:row r="399" s="92" customFormat="1" ht="7.900000095367432" customHeight="1">
      <x:c r="B399" s="93"/>
      <x:c r="C399" s="93"/>
      <x:c r="D399" s="93"/>
      <x:c r="E399" s="93"/>
      <x:c r="F399" s="93"/>
      <x:c r="G399" s="93"/>
      <x:c r="H399" s="93"/>
      <x:c r="I399" s="93"/>
      <x:c r="J399" s="93"/>
    </x:row>
    <x:row r="400" s="92" customFormat="1" ht="7.900000095367432" customHeight="1">
      <x:c r="B400" s="93"/>
      <x:c r="C400" s="93"/>
      <x:c r="D400" s="93"/>
      <x:c r="E400" s="93"/>
      <x:c r="F400" s="93"/>
      <x:c r="G400" s="93"/>
      <x:c r="H400" s="93"/>
      <x:c r="I400" s="93"/>
      <x:c r="J400" s="93"/>
    </x:row>
    <x:row r="401" s="92" customFormat="1" ht="7.900000095367432" customHeight="1">
      <x:c r="B401" s="93"/>
      <x:c r="C401" s="93"/>
      <x:c r="D401" s="93"/>
      <x:c r="E401" s="93"/>
      <x:c r="F401" s="93"/>
      <x:c r="G401" s="93"/>
      <x:c r="H401" s="93"/>
      <x:c r="I401" s="93"/>
      <x:c r="J401" s="93"/>
    </x:row>
    <x:row r="402" s="92" customFormat="1" ht="7.900000095367432" customHeight="1">
      <x:c r="B402" s="93"/>
      <x:c r="C402" s="93"/>
      <x:c r="D402" s="93"/>
      <x:c r="E402" s="93"/>
      <x:c r="F402" s="93"/>
      <x:c r="G402" s="93"/>
      <x:c r="H402" s="93"/>
      <x:c r="I402" s="93"/>
      <x:c r="J402" s="93"/>
    </x:row>
    <x:row r="403" s="92" customFormat="1" ht="7.900000095367432" customHeight="1">
      <x:c r="B403" s="93"/>
      <x:c r="C403" s="93"/>
      <x:c r="D403" s="93"/>
      <x:c r="E403" s="93"/>
      <x:c r="F403" s="93"/>
      <x:c r="G403" s="93"/>
      <x:c r="H403" s="93"/>
      <x:c r="I403" s="93"/>
      <x:c r="J403" s="93"/>
    </x:row>
    <x:row r="404" s="92" customFormat="1" ht="7.900000095367432" customHeight="1">
      <x:c r="B404" s="93"/>
      <x:c r="C404" s="93"/>
      <x:c r="D404" s="93"/>
      <x:c r="E404" s="93"/>
      <x:c r="F404" s="93"/>
      <x:c r="G404" s="93"/>
      <x:c r="H404" s="93"/>
      <x:c r="I404" s="93"/>
      <x:c r="J404" s="93"/>
    </x:row>
    <x:row r="405" s="92" customFormat="1" ht="7.900000095367432" customHeight="1">
      <x:c r="B405" s="93"/>
      <x:c r="C405" s="93"/>
      <x:c r="D405" s="93"/>
      <x:c r="E405" s="93"/>
      <x:c r="F405" s="93"/>
      <x:c r="G405" s="93"/>
      <x:c r="H405" s="93"/>
      <x:c r="I405" s="93"/>
      <x:c r="J405" s="93"/>
    </x:row>
    <x:row r="406" s="92" customFormat="1" ht="7.900000095367432" customHeight="1">
      <x:c r="B406" s="93"/>
      <x:c r="C406" s="93"/>
      <x:c r="D406" s="93"/>
      <x:c r="E406" s="93"/>
      <x:c r="F406" s="93"/>
      <x:c r="G406" s="93"/>
      <x:c r="H406" s="93"/>
      <x:c r="I406" s="93"/>
      <x:c r="J406" s="93"/>
    </x:row>
    <x:row r="407" s="92" customFormat="1" ht="7.900000095367432" customHeight="1">
      <x:c r="B407" s="93"/>
      <x:c r="C407" s="93"/>
      <x:c r="D407" s="93"/>
      <x:c r="E407" s="93"/>
      <x:c r="F407" s="93"/>
      <x:c r="G407" s="93"/>
      <x:c r="H407" s="93"/>
      <x:c r="I407" s="93"/>
      <x:c r="J407" s="93"/>
    </x:row>
    <x:row r="408" s="92" customFormat="1" ht="7.900000095367432" customHeight="1">
      <x:c r="B408" s="93"/>
      <x:c r="C408" s="93"/>
      <x:c r="D408" s="93"/>
      <x:c r="E408" s="93"/>
      <x:c r="F408" s="93"/>
      <x:c r="G408" s="93"/>
      <x:c r="H408" s="93"/>
      <x:c r="I408" s="93"/>
      <x:c r="J408" s="93"/>
    </x:row>
    <x:row r="409" s="92" customFormat="1" ht="7.900000095367432" customHeight="1">
      <x:c r="B409" s="93"/>
      <x:c r="C409" s="93"/>
      <x:c r="D409" s="93"/>
      <x:c r="E409" s="93"/>
      <x:c r="F409" s="93"/>
      <x:c r="G409" s="93"/>
      <x:c r="H409" s="93"/>
      <x:c r="I409" s="93"/>
      <x:c r="J409" s="93"/>
    </x:row>
    <x:row r="410" s="92" customFormat="1" ht="7.900000095367432" customHeight="1">
      <x:c r="B410" s="93"/>
      <x:c r="C410" s="93"/>
      <x:c r="D410" s="93"/>
      <x:c r="E410" s="93"/>
      <x:c r="F410" s="93"/>
      <x:c r="G410" s="93"/>
      <x:c r="H410" s="93"/>
      <x:c r="I410" s="93"/>
      <x:c r="J410" s="93"/>
    </x:row>
    <x:row r="411" s="92" customFormat="1" ht="7.900000095367432" customHeight="1">
      <x:c r="B411" s="93"/>
      <x:c r="C411" s="93"/>
      <x:c r="D411" s="93"/>
      <x:c r="E411" s="93"/>
      <x:c r="F411" s="93"/>
      <x:c r="G411" s="93"/>
      <x:c r="H411" s="93"/>
      <x:c r="I411" s="93"/>
      <x:c r="J411" s="93"/>
    </x:row>
    <x:row r="412" s="92" customFormat="1" ht="7.900000095367432" customHeight="1">
      <x:c r="B412" s="93"/>
      <x:c r="C412" s="93"/>
      <x:c r="D412" s="93"/>
      <x:c r="E412" s="93"/>
      <x:c r="F412" s="93"/>
      <x:c r="G412" s="93"/>
      <x:c r="H412" s="93"/>
      <x:c r="I412" s="93"/>
      <x:c r="J412" s="93"/>
    </x:row>
    <x:row r="413" s="92" customFormat="1" ht="7.900000095367432" customHeight="1">
      <x:c r="B413" s="93"/>
      <x:c r="C413" s="93"/>
      <x:c r="D413" s="93"/>
      <x:c r="E413" s="93"/>
      <x:c r="F413" s="93"/>
      <x:c r="G413" s="93"/>
      <x:c r="H413" s="93"/>
      <x:c r="I413" s="93"/>
      <x:c r="J413" s="93"/>
    </x:row>
    <x:row r="414" s="92" customFormat="1" ht="7.900000095367432" customHeight="1">
      <x:c r="B414" s="93"/>
      <x:c r="C414" s="93"/>
      <x:c r="D414" s="93"/>
      <x:c r="E414" s="93"/>
      <x:c r="F414" s="93"/>
      <x:c r="G414" s="93"/>
      <x:c r="H414" s="93"/>
      <x:c r="I414" s="93"/>
      <x:c r="J414" s="93"/>
    </x:row>
    <x:row r="415" s="92" customFormat="1" ht="7.900000095367432" customHeight="1">
      <x:c r="B415" s="93"/>
      <x:c r="C415" s="93"/>
      <x:c r="D415" s="93"/>
      <x:c r="E415" s="93"/>
      <x:c r="F415" s="93"/>
      <x:c r="G415" s="93"/>
      <x:c r="H415" s="93"/>
      <x:c r="I415" s="93"/>
      <x:c r="J415" s="93"/>
    </x:row>
    <x:row r="416" s="92" customFormat="1" ht="7.900000095367432" customHeight="1">
      <x:c r="B416" s="93"/>
      <x:c r="C416" s="93"/>
      <x:c r="D416" s="93"/>
      <x:c r="E416" s="93"/>
      <x:c r="F416" s="93"/>
      <x:c r="G416" s="93"/>
      <x:c r="H416" s="93"/>
      <x:c r="I416" s="93"/>
      <x:c r="J416" s="93"/>
    </x:row>
    <x:row r="417" s="92" customFormat="1" ht="7.900000095367432" customHeight="1">
      <x:c r="B417" s="93"/>
      <x:c r="C417" s="93"/>
      <x:c r="D417" s="93"/>
      <x:c r="E417" s="93"/>
      <x:c r="F417" s="93"/>
      <x:c r="G417" s="93"/>
      <x:c r="H417" s="93"/>
      <x:c r="I417" s="93"/>
      <x:c r="J417" s="93"/>
    </x:row>
    <x:row r="418" s="92" customFormat="1" ht="7.900000095367432" customHeight="1">
      <x:c r="B418" s="93"/>
      <x:c r="C418" s="93"/>
      <x:c r="D418" s="93"/>
      <x:c r="E418" s="93"/>
      <x:c r="F418" s="93"/>
      <x:c r="G418" s="93"/>
      <x:c r="H418" s="93"/>
      <x:c r="I418" s="93"/>
      <x:c r="J418" s="93"/>
    </x:row>
    <x:row r="419" s="92" customFormat="1" ht="7.900000095367432" customHeight="1">
      <x:c r="B419" s="93"/>
      <x:c r="C419" s="93"/>
      <x:c r="D419" s="93"/>
      <x:c r="E419" s="93"/>
      <x:c r="F419" s="93"/>
      <x:c r="G419" s="93"/>
      <x:c r="H419" s="93"/>
      <x:c r="I419" s="93"/>
      <x:c r="J419" s="93"/>
    </x:row>
    <x:row r="420" s="92" customFormat="1" ht="7.900000095367432" customHeight="1">
      <x:c r="B420" s="93"/>
      <x:c r="C420" s="93"/>
      <x:c r="D420" s="93"/>
      <x:c r="E420" s="93"/>
      <x:c r="F420" s="93"/>
      <x:c r="G420" s="93"/>
      <x:c r="H420" s="93"/>
      <x:c r="I420" s="93"/>
      <x:c r="J420" s="93"/>
    </x:row>
    <x:row r="421" s="92" customFormat="1" ht="7.900000095367432" customHeight="1">
      <x:c r="B421" s="93"/>
      <x:c r="C421" s="93"/>
      <x:c r="D421" s="93"/>
      <x:c r="E421" s="93"/>
      <x:c r="F421" s="93"/>
      <x:c r="G421" s="93"/>
      <x:c r="H421" s="93"/>
      <x:c r="I421" s="93"/>
      <x:c r="J421" s="93"/>
    </x:row>
    <x:row r="422" s="92" customFormat="1" ht="7.900000095367432" customHeight="1">
      <x:c r="B422" s="93"/>
      <x:c r="C422" s="93"/>
      <x:c r="D422" s="93"/>
      <x:c r="E422" s="93"/>
      <x:c r="F422" s="93"/>
      <x:c r="G422" s="93"/>
      <x:c r="H422" s="93"/>
      <x:c r="I422" s="93"/>
      <x:c r="J422" s="93"/>
    </x:row>
    <x:row r="423" s="92" customFormat="1" ht="7.900000095367432" customHeight="1">
      <x:c r="B423" s="93"/>
      <x:c r="C423" s="93"/>
      <x:c r="D423" s="93"/>
      <x:c r="E423" s="93"/>
      <x:c r="F423" s="93"/>
      <x:c r="G423" s="93"/>
      <x:c r="H423" s="93"/>
      <x:c r="I423" s="93"/>
      <x:c r="J423" s="93"/>
    </x:row>
    <x:row r="424" s="92" customFormat="1" ht="7.900000095367432" customHeight="1">
      <x:c r="B424" s="93"/>
      <x:c r="C424" s="93"/>
      <x:c r="D424" s="93"/>
      <x:c r="E424" s="93"/>
      <x:c r="F424" s="93"/>
      <x:c r="G424" s="93"/>
      <x:c r="H424" s="93"/>
      <x:c r="I424" s="93"/>
      <x:c r="J424" s="93"/>
    </x:row>
    <x:row r="425" s="92" customFormat="1" ht="7.900000095367432" customHeight="1">
      <x:c r="B425" s="93"/>
      <x:c r="C425" s="93"/>
      <x:c r="D425" s="93"/>
      <x:c r="E425" s="93"/>
      <x:c r="F425" s="93"/>
      <x:c r="G425" s="93"/>
      <x:c r="H425" s="93"/>
      <x:c r="I425" s="93"/>
      <x:c r="J425" s="93"/>
    </x:row>
    <x:row r="426" s="92" customFormat="1" ht="7.900000095367432" customHeight="1">
      <x:c r="B426" s="93"/>
      <x:c r="C426" s="93"/>
      <x:c r="D426" s="93"/>
      <x:c r="E426" s="93"/>
      <x:c r="F426" s="93"/>
      <x:c r="G426" s="93"/>
      <x:c r="H426" s="93"/>
      <x:c r="I426" s="93"/>
      <x:c r="J426" s="93"/>
    </x:row>
    <x:row r="427" s="92" customFormat="1" ht="7.900000095367432" customHeight="1">
      <x:c r="B427" s="93"/>
      <x:c r="C427" s="93"/>
      <x:c r="D427" s="93"/>
      <x:c r="E427" s="93"/>
      <x:c r="F427" s="93"/>
      <x:c r="G427" s="93"/>
      <x:c r="H427" s="93"/>
      <x:c r="I427" s="93"/>
      <x:c r="J427" s="93"/>
    </x:row>
    <x:row r="428" s="92" customFormat="1" ht="7.900000095367432" customHeight="1">
      <x:c r="B428" s="93"/>
      <x:c r="C428" s="93"/>
      <x:c r="D428" s="93"/>
      <x:c r="E428" s="93"/>
      <x:c r="F428" s="93"/>
      <x:c r="G428" s="93"/>
      <x:c r="H428" s="93"/>
      <x:c r="I428" s="93"/>
      <x:c r="J428" s="93"/>
    </x:row>
    <x:row r="429" s="92" customFormat="1" ht="7.900000095367432" customHeight="1">
      <x:c r="B429" s="93"/>
      <x:c r="C429" s="93"/>
      <x:c r="D429" s="93"/>
      <x:c r="E429" s="93"/>
      <x:c r="F429" s="93"/>
      <x:c r="G429" s="93"/>
      <x:c r="H429" s="93"/>
      <x:c r="I429" s="93"/>
      <x:c r="J429" s="93"/>
    </x:row>
    <x:row r="430" s="92" customFormat="1" ht="7.900000095367432" customHeight="1">
      <x:c r="B430" s="93"/>
      <x:c r="C430" s="93"/>
      <x:c r="D430" s="93"/>
      <x:c r="E430" s="93"/>
      <x:c r="F430" s="93"/>
      <x:c r="G430" s="93"/>
      <x:c r="H430" s="93"/>
      <x:c r="I430" s="93"/>
      <x:c r="J430" s="93"/>
    </x:row>
    <x:row r="431" s="92" customFormat="1" ht="7.900000095367432" customHeight="1">
      <x:c r="B431" s="93"/>
      <x:c r="C431" s="93"/>
      <x:c r="D431" s="93"/>
      <x:c r="E431" s="93"/>
      <x:c r="F431" s="93"/>
      <x:c r="G431" s="93"/>
      <x:c r="H431" s="93"/>
      <x:c r="I431" s="93"/>
      <x:c r="J431" s="93"/>
    </x:row>
    <x:row r="432" s="92" customFormat="1" ht="7.900000095367432" customHeight="1">
      <x:c r="B432" s="93"/>
      <x:c r="C432" s="93"/>
      <x:c r="D432" s="93"/>
      <x:c r="E432" s="93"/>
      <x:c r="F432" s="93"/>
      <x:c r="G432" s="93"/>
      <x:c r="H432" s="93"/>
      <x:c r="I432" s="93"/>
      <x:c r="J432" s="93"/>
    </x:row>
    <x:row r="433" s="92" customFormat="1" ht="7.900000095367432" customHeight="1">
      <x:c r="B433" s="93"/>
      <x:c r="C433" s="93"/>
      <x:c r="D433" s="93"/>
      <x:c r="E433" s="93"/>
      <x:c r="F433" s="93"/>
      <x:c r="G433" s="93"/>
      <x:c r="H433" s="93"/>
      <x:c r="I433" s="93"/>
      <x:c r="J433" s="93"/>
    </x:row>
    <x:row r="434" s="92" customFormat="1" ht="7.900000095367432" customHeight="1">
      <x:c r="B434" s="93"/>
      <x:c r="C434" s="93"/>
      <x:c r="D434" s="93"/>
      <x:c r="E434" s="93"/>
      <x:c r="F434" s="93"/>
      <x:c r="G434" s="93"/>
      <x:c r="H434" s="93"/>
      <x:c r="I434" s="93"/>
      <x:c r="J434" s="93"/>
    </x:row>
    <x:row r="435" s="92" customFormat="1" ht="7.900000095367432" customHeight="1">
      <x:c r="B435" s="93"/>
      <x:c r="C435" s="93"/>
      <x:c r="D435" s="93"/>
      <x:c r="E435" s="93"/>
      <x:c r="F435" s="93"/>
      <x:c r="G435" s="93"/>
      <x:c r="H435" s="93"/>
      <x:c r="I435" s="93"/>
      <x:c r="J435" s="93"/>
    </x:row>
    <x:row r="436" s="92" customFormat="1" ht="7.900000095367432" customHeight="1">
      <x:c r="B436" s="93"/>
      <x:c r="C436" s="93"/>
      <x:c r="D436" s="93"/>
      <x:c r="E436" s="93"/>
      <x:c r="F436" s="93"/>
      <x:c r="G436" s="93"/>
      <x:c r="H436" s="93"/>
      <x:c r="I436" s="93"/>
      <x:c r="J436" s="93"/>
    </x:row>
    <x:row r="437" s="92" customFormat="1" ht="7.900000095367432" customHeight="1">
      <x:c r="B437" s="93"/>
      <x:c r="C437" s="93"/>
      <x:c r="D437" s="93"/>
      <x:c r="E437" s="93"/>
      <x:c r="F437" s="93"/>
      <x:c r="G437" s="93"/>
      <x:c r="H437" s="93"/>
      <x:c r="I437" s="93"/>
      <x:c r="J437" s="93"/>
    </x:row>
    <x:row r="438" s="92" customFormat="1" ht="7.900000095367432" customHeight="1">
      <x:c r="B438" s="93"/>
      <x:c r="C438" s="93"/>
      <x:c r="D438" s="93"/>
      <x:c r="E438" s="93"/>
      <x:c r="F438" s="93"/>
      <x:c r="G438" s="93"/>
      <x:c r="H438" s="93"/>
      <x:c r="I438" s="93"/>
      <x:c r="J438" s="93"/>
    </x:row>
    <x:row r="439" s="92" customFormat="1" ht="7.900000095367432" customHeight="1">
      <x:c r="B439" s="93"/>
      <x:c r="C439" s="93"/>
      <x:c r="D439" s="93"/>
      <x:c r="E439" s="93"/>
      <x:c r="F439" s="93"/>
      <x:c r="G439" s="93"/>
      <x:c r="H439" s="93"/>
      <x:c r="I439" s="93"/>
      <x:c r="J439" s="93"/>
    </x:row>
    <x:row r="440" s="92" customFormat="1" ht="7.900000095367432" customHeight="1">
      <x:c r="B440" s="93"/>
      <x:c r="C440" s="93"/>
      <x:c r="D440" s="93"/>
      <x:c r="E440" s="93"/>
      <x:c r="F440" s="93"/>
      <x:c r="G440" s="93"/>
      <x:c r="H440" s="93"/>
      <x:c r="I440" s="93"/>
      <x:c r="J440" s="93"/>
    </x:row>
    <x:row r="441" s="92" customFormat="1" ht="7.900000095367432" customHeight="1">
      <x:c r="B441" s="93"/>
      <x:c r="C441" s="93"/>
      <x:c r="D441" s="93"/>
      <x:c r="E441" s="93"/>
      <x:c r="F441" s="93"/>
      <x:c r="G441" s="93"/>
      <x:c r="H441" s="93"/>
      <x:c r="I441" s="93"/>
      <x:c r="J441" s="93"/>
    </x:row>
    <x:row r="442" s="92" customFormat="1" ht="7.900000095367432" customHeight="1">
      <x:c r="B442" s="93"/>
      <x:c r="C442" s="93"/>
      <x:c r="D442" s="93"/>
      <x:c r="E442" s="93"/>
      <x:c r="F442" s="93"/>
      <x:c r="G442" s="93"/>
      <x:c r="H442" s="93"/>
      <x:c r="I442" s="93"/>
      <x:c r="J442" s="93"/>
    </x:row>
    <x:row r="443" s="92" customFormat="1" ht="7.900000095367432" customHeight="1">
      <x:c r="B443" s="93"/>
      <x:c r="C443" s="93"/>
      <x:c r="D443" s="93"/>
      <x:c r="E443" s="93"/>
      <x:c r="F443" s="93"/>
      <x:c r="G443" s="93"/>
      <x:c r="H443" s="93"/>
      <x:c r="I443" s="93"/>
      <x:c r="J443" s="93"/>
    </x:row>
    <x:row r="444" s="92" customFormat="1" ht="7.900000095367432" customHeight="1">
      <x:c r="B444" s="93"/>
      <x:c r="C444" s="93"/>
      <x:c r="D444" s="93"/>
      <x:c r="E444" s="93"/>
      <x:c r="F444" s="93"/>
      <x:c r="G444" s="93"/>
      <x:c r="H444" s="93"/>
      <x:c r="I444" s="93"/>
      <x:c r="J444" s="93"/>
    </x:row>
    <x:row r="445" s="92" customFormat="1" ht="7.900000095367432" customHeight="1">
      <x:c r="B445" s="93"/>
      <x:c r="C445" s="93"/>
      <x:c r="D445" s="93"/>
      <x:c r="E445" s="93"/>
      <x:c r="F445" s="93"/>
      <x:c r="G445" s="93"/>
      <x:c r="H445" s="93"/>
      <x:c r="I445" s="93"/>
      <x:c r="J445" s="93"/>
    </x:row>
    <x:row r="446" s="92" customFormat="1" ht="7.900000095367432" customHeight="1">
      <x:c r="B446" s="93"/>
      <x:c r="C446" s="93"/>
      <x:c r="D446" s="93"/>
      <x:c r="E446" s="93"/>
      <x:c r="F446" s="93"/>
      <x:c r="G446" s="93"/>
      <x:c r="H446" s="93"/>
      <x:c r="I446" s="93"/>
      <x:c r="J446" s="93"/>
    </x:row>
    <x:row r="447" s="92" customFormat="1" ht="7.900000095367432" customHeight="1">
      <x:c r="B447" s="93"/>
      <x:c r="C447" s="93"/>
      <x:c r="D447" s="93"/>
      <x:c r="E447" s="93"/>
      <x:c r="F447" s="93"/>
      <x:c r="G447" s="93"/>
      <x:c r="H447" s="93"/>
      <x:c r="I447" s="93"/>
      <x:c r="J447" s="93"/>
    </x:row>
    <x:row r="448" s="92" customFormat="1" ht="7.900000095367432" customHeight="1">
      <x:c r="B448" s="93"/>
      <x:c r="C448" s="93"/>
      <x:c r="D448" s="93"/>
      <x:c r="E448" s="93"/>
      <x:c r="F448" s="93"/>
      <x:c r="G448" s="93"/>
      <x:c r="H448" s="93"/>
      <x:c r="I448" s="93"/>
      <x:c r="J448" s="93"/>
    </x:row>
    <x:row r="449" s="92" customFormat="1" ht="7.900000095367432" customHeight="1">
      <x:c r="B449" s="93"/>
      <x:c r="C449" s="93"/>
      <x:c r="D449" s="93"/>
      <x:c r="E449" s="93"/>
      <x:c r="F449" s="93"/>
      <x:c r="G449" s="93"/>
      <x:c r="H449" s="93"/>
      <x:c r="I449" s="93"/>
      <x:c r="J449" s="93"/>
    </x:row>
    <x:row r="450" s="92" customFormat="1" ht="7.900000095367432" customHeight="1">
      <x:c r="B450" s="93"/>
      <x:c r="C450" s="93"/>
      <x:c r="D450" s="93"/>
      <x:c r="E450" s="93"/>
      <x:c r="F450" s="93"/>
      <x:c r="G450" s="93"/>
      <x:c r="H450" s="93"/>
      <x:c r="I450" s="93"/>
      <x:c r="J450" s="93"/>
    </x:row>
    <x:row r="451" s="92" customFormat="1" ht="7.900000095367432" customHeight="1">
      <x:c r="B451" s="93"/>
      <x:c r="C451" s="93"/>
      <x:c r="D451" s="93"/>
      <x:c r="E451" s="93"/>
      <x:c r="F451" s="93"/>
      <x:c r="G451" s="93"/>
      <x:c r="H451" s="93"/>
      <x:c r="I451" s="93"/>
      <x:c r="J451" s="93"/>
    </x:row>
    <x:row r="452" s="92" customFormat="1" ht="7.900000095367432" customHeight="1">
      <x:c r="B452" s="93"/>
      <x:c r="C452" s="93"/>
      <x:c r="D452" s="93"/>
      <x:c r="E452" s="93"/>
      <x:c r="F452" s="93"/>
      <x:c r="G452" s="93"/>
      <x:c r="H452" s="93"/>
      <x:c r="I452" s="93"/>
      <x:c r="J452" s="93"/>
    </x:row>
    <x:row r="453" s="92" customFormat="1" ht="7.900000095367432" customHeight="1">
      <x:c r="B453" s="93"/>
      <x:c r="C453" s="93"/>
      <x:c r="D453" s="93"/>
      <x:c r="E453" s="93"/>
      <x:c r="F453" s="93"/>
      <x:c r="G453" s="93"/>
      <x:c r="H453" s="93"/>
      <x:c r="I453" s="93"/>
      <x:c r="J453" s="93"/>
    </x:row>
    <x:row r="454" s="92" customFormat="1" ht="7.900000095367432" customHeight="1">
      <x:c r="B454" s="93"/>
      <x:c r="C454" s="93"/>
      <x:c r="D454" s="93"/>
      <x:c r="E454" s="93"/>
      <x:c r="F454" s="93"/>
      <x:c r="G454" s="93"/>
      <x:c r="H454" s="93"/>
      <x:c r="I454" s="93"/>
      <x:c r="J454" s="93"/>
    </x:row>
    <x:row r="455" s="92" customFormat="1" ht="7.900000095367432" customHeight="1">
      <x:c r="B455" s="93"/>
      <x:c r="C455" s="93"/>
      <x:c r="D455" s="93"/>
      <x:c r="E455" s="93"/>
      <x:c r="F455" s="93"/>
      <x:c r="G455" s="93"/>
      <x:c r="H455" s="93"/>
      <x:c r="I455" s="93"/>
      <x:c r="J455" s="93"/>
    </x:row>
    <x:row r="456" s="92" customFormat="1" ht="7.900000095367432" customHeight="1">
      <x:c r="B456" s="93"/>
      <x:c r="C456" s="93"/>
      <x:c r="D456" s="93"/>
      <x:c r="E456" s="93"/>
      <x:c r="F456" s="93"/>
      <x:c r="G456" s="93"/>
      <x:c r="H456" s="93"/>
      <x:c r="I456" s="93"/>
      <x:c r="J456" s="93"/>
    </x:row>
    <x:row r="457" s="92" customFormat="1" ht="7.900000095367432" customHeight="1">
      <x:c r="B457" s="93"/>
      <x:c r="C457" s="93"/>
      <x:c r="D457" s="93"/>
      <x:c r="E457" s="93"/>
      <x:c r="F457" s="93"/>
      <x:c r="G457" s="93"/>
      <x:c r="H457" s="93"/>
      <x:c r="I457" s="93"/>
      <x:c r="J457" s="93"/>
    </x:row>
    <x:row r="458" s="92" customFormat="1" ht="7.900000095367432" customHeight="1">
      <x:c r="B458" s="93"/>
      <x:c r="C458" s="93"/>
      <x:c r="D458" s="93"/>
      <x:c r="E458" s="93"/>
      <x:c r="F458" s="93"/>
      <x:c r="G458" s="93"/>
      <x:c r="H458" s="93"/>
      <x:c r="I458" s="93"/>
      <x:c r="J458" s="93"/>
    </x:row>
    <x:row r="459" s="92" customFormat="1" ht="7.900000095367432" customHeight="1">
      <x:c r="B459" s="93"/>
      <x:c r="C459" s="93"/>
      <x:c r="D459" s="93"/>
      <x:c r="E459" s="93"/>
      <x:c r="F459" s="93"/>
      <x:c r="G459" s="93"/>
      <x:c r="H459" s="93"/>
      <x:c r="I459" s="93"/>
      <x:c r="J459" s="93"/>
    </x:row>
    <x:row r="460" s="92" customFormat="1" ht="7.900000095367432" customHeight="1">
      <x:c r="B460" s="93"/>
      <x:c r="C460" s="93"/>
      <x:c r="D460" s="93"/>
      <x:c r="E460" s="93"/>
      <x:c r="F460" s="93"/>
      <x:c r="G460" s="93"/>
      <x:c r="H460" s="93"/>
      <x:c r="I460" s="93"/>
      <x:c r="J460" s="93"/>
    </x:row>
    <x:row r="461" s="92" customFormat="1" ht="7.900000095367432" customHeight="1">
      <x:c r="B461" s="93"/>
      <x:c r="C461" s="93"/>
      <x:c r="D461" s="93"/>
      <x:c r="E461" s="93"/>
      <x:c r="F461" s="93"/>
      <x:c r="G461" s="93"/>
      <x:c r="H461" s="93"/>
      <x:c r="I461" s="93"/>
      <x:c r="J461" s="93"/>
    </x:row>
    <x:row r="462" s="92" customFormat="1" ht="7.900000095367432" customHeight="1">
      <x:c r="B462" s="93"/>
      <x:c r="C462" s="93"/>
      <x:c r="D462" s="93"/>
      <x:c r="E462" s="93"/>
      <x:c r="F462" s="93"/>
      <x:c r="G462" s="93"/>
      <x:c r="H462" s="93"/>
      <x:c r="I462" s="93"/>
      <x:c r="J462" s="93"/>
    </x:row>
    <x:row r="463" s="92" customFormat="1" ht="7.900000095367432" customHeight="1">
      <x:c r="B463" s="93"/>
      <x:c r="C463" s="93"/>
      <x:c r="D463" s="93"/>
      <x:c r="E463" s="93"/>
      <x:c r="F463" s="93"/>
      <x:c r="G463" s="93"/>
      <x:c r="H463" s="93"/>
      <x:c r="I463" s="93"/>
      <x:c r="J463" s="93"/>
    </x:row>
    <x:row r="464" s="92" customFormat="1" ht="7.900000095367432" customHeight="1">
      <x:c r="B464" s="93"/>
      <x:c r="C464" s="93"/>
      <x:c r="D464" s="93"/>
      <x:c r="E464" s="93"/>
      <x:c r="F464" s="93"/>
      <x:c r="G464" s="93"/>
      <x:c r="H464" s="93"/>
      <x:c r="I464" s="93"/>
      <x:c r="J464" s="93"/>
    </x:row>
    <x:row r="465" s="92" customFormat="1" ht="7.900000095367432" customHeight="1">
      <x:c r="B465" s="93"/>
      <x:c r="C465" s="93"/>
      <x:c r="D465" s="93"/>
      <x:c r="E465" s="93"/>
      <x:c r="F465" s="93"/>
      <x:c r="G465" s="93"/>
      <x:c r="H465" s="93"/>
      <x:c r="I465" s="93"/>
      <x:c r="J465" s="93"/>
    </x:row>
    <x:row r="466" s="92" customFormat="1" ht="7.900000095367432" customHeight="1">
      <x:c r="B466" s="93"/>
      <x:c r="C466" s="93"/>
      <x:c r="D466" s="93"/>
      <x:c r="E466" s="93"/>
      <x:c r="F466" s="93"/>
      <x:c r="G466" s="93"/>
      <x:c r="H466" s="93"/>
      <x:c r="I466" s="93"/>
      <x:c r="J466" s="93"/>
    </x:row>
    <x:row r="467" s="92" customFormat="1" ht="7.900000095367432" customHeight="1">
      <x:c r="B467" s="93"/>
      <x:c r="C467" s="93"/>
      <x:c r="D467" s="93"/>
      <x:c r="E467" s="93"/>
      <x:c r="F467" s="93"/>
      <x:c r="G467" s="93"/>
      <x:c r="H467" s="93"/>
      <x:c r="I467" s="93"/>
      <x:c r="J467" s="93"/>
    </x:row>
    <x:row r="468" s="92" customFormat="1" ht="7.900000095367432" customHeight="1">
      <x:c r="B468" s="93"/>
      <x:c r="C468" s="93"/>
      <x:c r="D468" s="93"/>
      <x:c r="E468" s="93"/>
      <x:c r="F468" s="93"/>
      <x:c r="G468" s="93"/>
      <x:c r="H468" s="93"/>
      <x:c r="I468" s="93"/>
      <x:c r="J468" s="93"/>
    </x:row>
    <x:row r="469" s="92" customFormat="1" ht="7.900000095367432" customHeight="1">
      <x:c r="B469" s="93"/>
      <x:c r="C469" s="93"/>
      <x:c r="D469" s="93"/>
      <x:c r="E469" s="93"/>
      <x:c r="F469" s="93"/>
      <x:c r="G469" s="93"/>
      <x:c r="H469" s="93"/>
      <x:c r="I469" s="93"/>
      <x:c r="J469" s="93"/>
    </x:row>
    <x:row r="470" s="92" customFormat="1" ht="7.900000095367432" customHeight="1">
      <x:c r="B470" s="93"/>
      <x:c r="C470" s="93"/>
      <x:c r="D470" s="93"/>
      <x:c r="E470" s="93"/>
      <x:c r="F470" s="93"/>
      <x:c r="G470" s="93"/>
      <x:c r="H470" s="93"/>
      <x:c r="I470" s="93"/>
      <x:c r="J470" s="93"/>
    </x:row>
    <x:row r="471" s="92" customFormat="1" ht="7.900000095367432" customHeight="1">
      <x:c r="B471" s="93"/>
      <x:c r="C471" s="93"/>
      <x:c r="D471" s="93"/>
      <x:c r="E471" s="93"/>
      <x:c r="F471" s="93"/>
      <x:c r="G471" s="93"/>
      <x:c r="H471" s="93"/>
      <x:c r="I471" s="93"/>
      <x:c r="J471" s="93"/>
    </x:row>
    <x:row r="472" s="92" customFormat="1" ht="7.900000095367432" customHeight="1">
      <x:c r="B472" s="93"/>
      <x:c r="C472" s="93"/>
      <x:c r="D472" s="93"/>
      <x:c r="E472" s="93"/>
      <x:c r="F472" s="93"/>
      <x:c r="G472" s="93"/>
      <x:c r="H472" s="93"/>
      <x:c r="I472" s="93"/>
      <x:c r="J472" s="93"/>
    </x:row>
    <x:row r="473" s="92" customFormat="1" ht="7.900000095367432" customHeight="1">
      <x:c r="B473" s="93"/>
      <x:c r="C473" s="93"/>
      <x:c r="D473" s="93"/>
      <x:c r="E473" s="93"/>
      <x:c r="F473" s="93"/>
      <x:c r="G473" s="93"/>
      <x:c r="H473" s="93"/>
      <x:c r="I473" s="93"/>
      <x:c r="J473" s="93"/>
    </x:row>
    <x:row r="474" s="92" customFormat="1" ht="7.900000095367432" customHeight="1">
      <x:c r="B474" s="93"/>
      <x:c r="C474" s="93"/>
      <x:c r="D474" s="93"/>
      <x:c r="E474" s="93"/>
      <x:c r="F474" s="93"/>
      <x:c r="G474" s="93"/>
      <x:c r="H474" s="93"/>
      <x:c r="I474" s="93"/>
      <x:c r="J474" s="93"/>
    </x:row>
    <x:row r="475" s="92" customFormat="1" ht="7.900000095367432" customHeight="1">
      <x:c r="B475" s="93"/>
      <x:c r="C475" s="93"/>
      <x:c r="D475" s="93"/>
      <x:c r="E475" s="93"/>
      <x:c r="F475" s="93"/>
      <x:c r="G475" s="93"/>
      <x:c r="H475" s="93"/>
      <x:c r="I475" s="93"/>
      <x:c r="J475" s="93"/>
    </x:row>
    <x:row r="476" s="92" customFormat="1" ht="7.900000095367432" customHeight="1">
      <x:c r="B476" s="93"/>
      <x:c r="C476" s="93"/>
      <x:c r="D476" s="93"/>
      <x:c r="E476" s="93"/>
      <x:c r="F476" s="93"/>
      <x:c r="G476" s="93"/>
      <x:c r="H476" s="93"/>
      <x:c r="I476" s="93"/>
      <x:c r="J476" s="93"/>
    </x:row>
    <x:row r="477" s="92" customFormat="1" ht="7.900000095367432" customHeight="1">
      <x:c r="B477" s="93"/>
      <x:c r="C477" s="93"/>
      <x:c r="D477" s="93"/>
      <x:c r="E477" s="93"/>
      <x:c r="F477" s="93"/>
      <x:c r="G477" s="93"/>
      <x:c r="H477" s="93"/>
      <x:c r="I477" s="93"/>
      <x:c r="J477" s="93"/>
    </x:row>
    <x:row r="478" s="92" customFormat="1" ht="7.900000095367432" customHeight="1">
      <x:c r="B478" s="93"/>
      <x:c r="C478" s="93"/>
      <x:c r="D478" s="93"/>
      <x:c r="E478" s="93"/>
      <x:c r="F478" s="93"/>
      <x:c r="G478" s="93"/>
      <x:c r="H478" s="93"/>
      <x:c r="I478" s="93"/>
      <x:c r="J478" s="93"/>
    </x:row>
    <x:row r="479" s="92" customFormat="1" ht="7.900000095367432" customHeight="1">
      <x:c r="B479" s="93"/>
      <x:c r="C479" s="93"/>
      <x:c r="D479" s="93"/>
      <x:c r="E479" s="93"/>
      <x:c r="F479" s="93"/>
      <x:c r="G479" s="93"/>
      <x:c r="H479" s="93"/>
      <x:c r="I479" s="93"/>
      <x:c r="J479" s="93"/>
    </x:row>
    <x:row r="480" s="92" customFormat="1" ht="7.900000095367432" customHeight="1">
      <x:c r="B480" s="93"/>
      <x:c r="C480" s="93"/>
      <x:c r="D480" s="93"/>
      <x:c r="E480" s="93"/>
      <x:c r="F480" s="93"/>
      <x:c r="G480" s="93"/>
      <x:c r="H480" s="93"/>
      <x:c r="I480" s="93"/>
      <x:c r="J480" s="93"/>
    </x:row>
    <x:row r="481" s="92" customFormat="1" ht="7.900000095367432" customHeight="1">
      <x:c r="B481" s="93"/>
      <x:c r="C481" s="93"/>
      <x:c r="D481" s="93"/>
      <x:c r="E481" s="93"/>
      <x:c r="F481" s="93"/>
      <x:c r="G481" s="93"/>
      <x:c r="H481" s="93"/>
      <x:c r="I481" s="93"/>
      <x:c r="J481" s="93"/>
    </x:row>
    <x:row r="482" s="92" customFormat="1" ht="7.900000095367432" customHeight="1">
      <x:c r="B482" s="93"/>
      <x:c r="C482" s="93"/>
      <x:c r="D482" s="93"/>
      <x:c r="E482" s="93"/>
      <x:c r="F482" s="93"/>
      <x:c r="G482" s="93"/>
      <x:c r="H482" s="93"/>
      <x:c r="I482" s="93"/>
      <x:c r="J482" s="93"/>
    </x:row>
    <x:row r="483" s="92" customFormat="1" ht="7.900000095367432" customHeight="1">
      <x:c r="B483" s="93"/>
      <x:c r="C483" s="93"/>
      <x:c r="D483" s="93"/>
      <x:c r="E483" s="93"/>
      <x:c r="F483" s="93"/>
      <x:c r="G483" s="93"/>
      <x:c r="H483" s="93"/>
      <x:c r="I483" s="93"/>
      <x:c r="J483" s="93"/>
    </x:row>
    <x:row r="484" s="92" customFormat="1" ht="7.900000095367432" customHeight="1">
      <x:c r="B484" s="93"/>
      <x:c r="C484" s="93"/>
      <x:c r="D484" s="93"/>
      <x:c r="E484" s="93"/>
      <x:c r="F484" s="93"/>
      <x:c r="G484" s="93"/>
      <x:c r="H484" s="93"/>
      <x:c r="I484" s="93"/>
      <x:c r="J484" s="93"/>
    </x:row>
    <x:row r="485" s="92" customFormat="1" ht="7.900000095367432" customHeight="1">
      <x:c r="B485" s="93"/>
      <x:c r="C485" s="93"/>
      <x:c r="D485" s="93"/>
      <x:c r="E485" s="93"/>
      <x:c r="F485" s="93"/>
      <x:c r="G485" s="93"/>
      <x:c r="H485" s="93"/>
      <x:c r="I485" s="93"/>
      <x:c r="J485" s="93"/>
    </x:row>
    <x:row r="486" s="92" customFormat="1" ht="7.900000095367432" customHeight="1">
      <x:c r="B486" s="93"/>
      <x:c r="C486" s="93"/>
      <x:c r="D486" s="93"/>
      <x:c r="E486" s="93"/>
      <x:c r="F486" s="93"/>
      <x:c r="G486" s="93"/>
      <x:c r="H486" s="93"/>
      <x:c r="I486" s="93"/>
      <x:c r="J486" s="93"/>
    </x:row>
    <x:row r="487" s="92" customFormat="1" ht="7.900000095367432" customHeight="1">
      <x:c r="B487" s="93"/>
      <x:c r="C487" s="93"/>
      <x:c r="D487" s="93"/>
      <x:c r="E487" s="93"/>
      <x:c r="F487" s="93"/>
      <x:c r="G487" s="93"/>
      <x:c r="H487" s="93"/>
      <x:c r="I487" s="93"/>
      <x:c r="J487" s="93"/>
    </x:row>
    <x:row r="488" s="92" customFormat="1" ht="7.900000095367432" customHeight="1">
      <x:c r="B488" s="93"/>
      <x:c r="C488" s="93"/>
      <x:c r="D488" s="93"/>
      <x:c r="E488" s="93"/>
      <x:c r="F488" s="93"/>
      <x:c r="G488" s="93"/>
      <x:c r="H488" s="93"/>
      <x:c r="I488" s="93"/>
      <x:c r="J488" s="93"/>
    </x:row>
    <x:row r="489" s="92" customFormat="1" ht="7.900000095367432" customHeight="1">
      <x:c r="B489" s="93"/>
      <x:c r="C489" s="93"/>
      <x:c r="D489" s="93"/>
      <x:c r="E489" s="93"/>
      <x:c r="F489" s="93"/>
      <x:c r="G489" s="93"/>
      <x:c r="H489" s="93"/>
      <x:c r="I489" s="93"/>
      <x:c r="J489" s="93"/>
    </x:row>
    <x:row r="490" s="92" customFormat="1" ht="7.900000095367432" customHeight="1">
      <x:c r="B490" s="93"/>
      <x:c r="C490" s="93"/>
      <x:c r="D490" s="93"/>
      <x:c r="E490" s="93"/>
      <x:c r="F490" s="93"/>
      <x:c r="G490" s="93"/>
      <x:c r="H490" s="93"/>
      <x:c r="I490" s="93"/>
      <x:c r="J490" s="93"/>
    </x:row>
    <x:row r="491" s="92" customFormat="1" ht="7.900000095367432" customHeight="1">
      <x:c r="B491" s="93"/>
      <x:c r="C491" s="93"/>
      <x:c r="D491" s="93"/>
      <x:c r="E491" s="93"/>
      <x:c r="F491" s="93"/>
      <x:c r="G491" s="93"/>
      <x:c r="H491" s="93"/>
      <x:c r="I491" s="93"/>
      <x:c r="J491" s="93"/>
    </x:row>
    <x:row r="492" s="92" customFormat="1" ht="7.900000095367432" customHeight="1">
      <x:c r="B492" s="93"/>
      <x:c r="C492" s="93"/>
      <x:c r="D492" s="93"/>
      <x:c r="E492" s="93"/>
      <x:c r="F492" s="93"/>
      <x:c r="G492" s="93"/>
      <x:c r="H492" s="93"/>
      <x:c r="I492" s="93"/>
      <x:c r="J492" s="93"/>
    </x:row>
    <x:row r="493" s="92" customFormat="1" ht="7.900000095367432" customHeight="1">
      <x:c r="B493" s="93"/>
      <x:c r="C493" s="93"/>
      <x:c r="D493" s="93"/>
      <x:c r="E493" s="93"/>
      <x:c r="F493" s="93"/>
      <x:c r="G493" s="93"/>
      <x:c r="H493" s="93"/>
      <x:c r="I493" s="93"/>
      <x:c r="J493" s="93"/>
    </x:row>
    <x:row r="494" s="92" customFormat="1" ht="7.900000095367432" customHeight="1">
      <x:c r="B494" s="93"/>
      <x:c r="C494" s="93"/>
      <x:c r="D494" s="93"/>
      <x:c r="E494" s="93"/>
      <x:c r="F494" s="93"/>
      <x:c r="G494" s="93"/>
      <x:c r="H494" s="93"/>
      <x:c r="I494" s="93"/>
      <x:c r="J494" s="93"/>
    </x:row>
    <x:row r="495" s="92" customFormat="1" ht="7.900000095367432" customHeight="1">
      <x:c r="B495" s="93"/>
      <x:c r="C495" s="93"/>
      <x:c r="D495" s="93"/>
      <x:c r="E495" s="93"/>
      <x:c r="F495" s="93"/>
      <x:c r="G495" s="93"/>
      <x:c r="H495" s="93"/>
      <x:c r="I495" s="93"/>
      <x:c r="J495" s="93"/>
    </x:row>
    <x:row r="496" s="92" customFormat="1" ht="7.900000095367432" customHeight="1">
      <x:c r="B496" s="93"/>
      <x:c r="C496" s="93"/>
      <x:c r="D496" s="93"/>
      <x:c r="E496" s="93"/>
      <x:c r="F496" s="93"/>
      <x:c r="G496" s="93"/>
      <x:c r="H496" s="93"/>
      <x:c r="I496" s="93"/>
      <x:c r="J496" s="93"/>
    </x:row>
    <x:row r="497" s="92" customFormat="1" ht="7.900000095367432" customHeight="1">
      <x:c r="B497" s="93"/>
      <x:c r="C497" s="93"/>
      <x:c r="D497" s="93"/>
      <x:c r="E497" s="93"/>
      <x:c r="F497" s="93"/>
      <x:c r="G497" s="93"/>
      <x:c r="H497" s="93"/>
      <x:c r="I497" s="93"/>
      <x:c r="J497" s="93"/>
    </x:row>
    <x:row r="498" s="92" customFormat="1" ht="7.900000095367432" customHeight="1">
      <x:c r="B498" s="93"/>
      <x:c r="C498" s="93"/>
      <x:c r="D498" s="93"/>
      <x:c r="E498" s="93"/>
      <x:c r="F498" s="93"/>
      <x:c r="G498" s="93"/>
      <x:c r="H498" s="93"/>
      <x:c r="I498" s="93"/>
      <x:c r="J498" s="93"/>
    </x:row>
    <x:row r="499" s="92" customFormat="1" ht="7.900000095367432" customHeight="1">
      <x:c r="B499" s="93"/>
      <x:c r="C499" s="93"/>
      <x:c r="D499" s="93"/>
      <x:c r="E499" s="93"/>
      <x:c r="F499" s="93"/>
      <x:c r="G499" s="93"/>
      <x:c r="H499" s="93"/>
      <x:c r="I499" s="93"/>
      <x:c r="J499" s="93"/>
    </x:row>
    <x:row r="500" s="92" customFormat="1" ht="7.900000095367432" customHeight="1">
      <x:c r="B500" s="93"/>
      <x:c r="C500" s="93"/>
      <x:c r="D500" s="93"/>
      <x:c r="E500" s="93"/>
      <x:c r="F500" s="93"/>
      <x:c r="G500" s="93"/>
      <x:c r="H500" s="93"/>
      <x:c r="I500" s="93"/>
      <x:c r="J500" s="93"/>
    </x:row>
    <x:row r="501" s="92" customFormat="1" ht="7.900000095367432" customHeight="1">
      <x:c r="B501" s="93"/>
      <x:c r="C501" s="93"/>
      <x:c r="D501" s="93"/>
      <x:c r="E501" s="93"/>
      <x:c r="F501" s="93"/>
      <x:c r="G501" s="93"/>
      <x:c r="H501" s="93"/>
      <x:c r="I501" s="93"/>
      <x:c r="J501" s="93"/>
    </x:row>
    <x:row r="502" s="92" customFormat="1" ht="7.900000095367432" customHeight="1">
      <x:c r="B502" s="93"/>
      <x:c r="C502" s="93"/>
      <x:c r="D502" s="93"/>
      <x:c r="E502" s="93"/>
      <x:c r="F502" s="93"/>
      <x:c r="G502" s="93"/>
      <x:c r="H502" s="93"/>
      <x:c r="I502" s="93"/>
      <x:c r="J502" s="93"/>
    </x:row>
    <x:row r="503" s="92" customFormat="1" ht="7.900000095367432" customHeight="1">
      <x:c r="B503" s="93"/>
      <x:c r="C503" s="93"/>
      <x:c r="D503" s="93"/>
      <x:c r="E503" s="93"/>
      <x:c r="F503" s="93"/>
      <x:c r="G503" s="93"/>
      <x:c r="H503" s="93"/>
      <x:c r="I503" s="93"/>
      <x:c r="J503" s="93"/>
    </x:row>
    <x:row r="504" s="92" customFormat="1" ht="7.900000095367432" customHeight="1">
      <x:c r="B504" s="93"/>
      <x:c r="C504" s="93"/>
      <x:c r="D504" s="93"/>
      <x:c r="E504" s="93"/>
      <x:c r="F504" s="93"/>
      <x:c r="G504" s="93"/>
      <x:c r="H504" s="93"/>
      <x:c r="I504" s="93"/>
      <x:c r="J504" s="93"/>
    </x:row>
    <x:row r="505" s="92" customFormat="1" ht="7.900000095367432" customHeight="1">
      <x:c r="B505" s="93"/>
      <x:c r="C505" s="93"/>
      <x:c r="D505" s="93"/>
      <x:c r="E505" s="93"/>
      <x:c r="F505" s="93"/>
      <x:c r="G505" s="93"/>
      <x:c r="H505" s="93"/>
      <x:c r="I505" s="93"/>
      <x:c r="J505" s="93"/>
    </x:row>
    <x:row r="506" s="92" customFormat="1" ht="7.900000095367432" customHeight="1">
      <x:c r="B506" s="93"/>
      <x:c r="C506" s="93"/>
      <x:c r="D506" s="93"/>
      <x:c r="E506" s="93"/>
      <x:c r="F506" s="93"/>
      <x:c r="G506" s="93"/>
      <x:c r="H506" s="93"/>
      <x:c r="I506" s="93"/>
      <x:c r="J506" s="93"/>
    </x:row>
    <x:row r="507" s="92" customFormat="1" ht="7.900000095367432" customHeight="1">
      <x:c r="B507" s="93"/>
      <x:c r="C507" s="93"/>
      <x:c r="D507" s="93"/>
      <x:c r="E507" s="93"/>
      <x:c r="F507" s="93"/>
      <x:c r="G507" s="93"/>
      <x:c r="H507" s="93"/>
      <x:c r="I507" s="93"/>
      <x:c r="J507" s="93"/>
    </x:row>
    <x:row r="508" s="92" customFormat="1" ht="7.900000095367432" customHeight="1">
      <x:c r="B508" s="93"/>
      <x:c r="C508" s="93"/>
      <x:c r="D508" s="93"/>
      <x:c r="E508" s="93"/>
      <x:c r="F508" s="93"/>
      <x:c r="G508" s="93"/>
      <x:c r="H508" s="93"/>
      <x:c r="I508" s="93"/>
      <x:c r="J508" s="93"/>
    </x:row>
    <x:row r="509" s="92" customFormat="1" ht="7.900000095367432" customHeight="1">
      <x:c r="B509" s="93"/>
      <x:c r="C509" s="93"/>
      <x:c r="D509" s="93"/>
      <x:c r="E509" s="93"/>
      <x:c r="F509" s="93"/>
      <x:c r="G509" s="93"/>
      <x:c r="H509" s="93"/>
      <x:c r="I509" s="93"/>
      <x:c r="J509" s="93"/>
    </x:row>
    <x:row r="510" s="92" customFormat="1" ht="7.900000095367432" customHeight="1">
      <x:c r="B510" s="93"/>
      <x:c r="C510" s="93"/>
      <x:c r="D510" s="93"/>
      <x:c r="E510" s="93"/>
      <x:c r="F510" s="93"/>
      <x:c r="G510" s="93"/>
      <x:c r="H510" s="93"/>
      <x:c r="I510" s="93"/>
      <x:c r="J510" s="93"/>
    </x:row>
    <x:row r="511" s="92" customFormat="1" ht="7.900000095367432" customHeight="1">
      <x:c r="B511" s="93"/>
      <x:c r="C511" s="93"/>
      <x:c r="D511" s="93"/>
      <x:c r="E511" s="93"/>
      <x:c r="F511" s="93"/>
      <x:c r="G511" s="93"/>
      <x:c r="H511" s="93"/>
      <x:c r="I511" s="93"/>
      <x:c r="J511" s="93"/>
    </x:row>
    <x:row r="512" s="92" customFormat="1" ht="7.900000095367432" customHeight="1">
      <x:c r="B512" s="93"/>
      <x:c r="C512" s="93"/>
      <x:c r="D512" s="93"/>
      <x:c r="E512" s="93"/>
      <x:c r="F512" s="93"/>
      <x:c r="G512" s="93"/>
      <x:c r="H512" s="93"/>
      <x:c r="I512" s="93"/>
      <x:c r="J512" s="93"/>
    </x:row>
    <x:row r="513" s="92" customFormat="1" ht="7.900000095367432" customHeight="1">
      <x:c r="B513" s="93"/>
      <x:c r="C513" s="93"/>
      <x:c r="D513" s="93"/>
      <x:c r="E513" s="93"/>
      <x:c r="F513" s="93"/>
      <x:c r="G513" s="93"/>
      <x:c r="H513" s="93"/>
      <x:c r="I513" s="93"/>
      <x:c r="J513" s="93"/>
    </x:row>
    <x:row r="514" s="92" customFormat="1" ht="7.900000095367432" customHeight="1">
      <x:c r="B514" s="93"/>
      <x:c r="C514" s="93"/>
      <x:c r="D514" s="93"/>
      <x:c r="E514" s="93"/>
      <x:c r="F514" s="93"/>
      <x:c r="G514" s="93"/>
      <x:c r="H514" s="93"/>
      <x:c r="I514" s="93"/>
      <x:c r="J514" s="93"/>
    </x:row>
    <x:row r="515" s="92" customFormat="1" ht="7.900000095367432" customHeight="1">
      <x:c r="B515" s="93"/>
      <x:c r="C515" s="93"/>
      <x:c r="D515" s="93"/>
      <x:c r="E515" s="93"/>
      <x:c r="F515" s="93"/>
      <x:c r="G515" s="93"/>
      <x:c r="H515" s="93"/>
      <x:c r="I515" s="93"/>
      <x:c r="J515" s="93"/>
    </x:row>
    <x:row r="516" s="92" customFormat="1" ht="7.900000095367432" customHeight="1">
      <x:c r="B516" s="93"/>
      <x:c r="C516" s="93"/>
      <x:c r="D516" s="93"/>
      <x:c r="E516" s="93"/>
      <x:c r="F516" s="93"/>
      <x:c r="G516" s="93"/>
      <x:c r="H516" s="93"/>
      <x:c r="I516" s="93"/>
      <x:c r="J516" s="93"/>
    </x:row>
    <x:row r="517" s="92" customFormat="1" ht="7.900000095367432" customHeight="1">
      <x:c r="B517" s="93"/>
      <x:c r="C517" s="93"/>
      <x:c r="D517" s="93"/>
      <x:c r="E517" s="93"/>
      <x:c r="F517" s="93"/>
      <x:c r="G517" s="93"/>
      <x:c r="H517" s="93"/>
      <x:c r="I517" s="93"/>
      <x:c r="J517" s="93"/>
    </x:row>
    <x:row r="518" s="92" customFormat="1" ht="7.900000095367432" customHeight="1">
      <x:c r="B518" s="93"/>
      <x:c r="C518" s="93"/>
      <x:c r="D518" s="93"/>
      <x:c r="E518" s="93"/>
      <x:c r="F518" s="93"/>
      <x:c r="G518" s="93"/>
      <x:c r="H518" s="93"/>
      <x:c r="I518" s="93"/>
      <x:c r="J518" s="93"/>
    </x:row>
    <x:row r="519" s="92" customFormat="1" ht="7.900000095367432" customHeight="1">
      <x:c r="B519" s="93"/>
      <x:c r="C519" s="93"/>
      <x:c r="D519" s="93"/>
      <x:c r="E519" s="93"/>
      <x:c r="F519" s="93"/>
      <x:c r="G519" s="93"/>
      <x:c r="H519" s="93"/>
      <x:c r="I519" s="93"/>
      <x:c r="J519" s="93"/>
    </x:row>
    <x:row r="520" s="92" customFormat="1" ht="7.900000095367432" customHeight="1">
      <x:c r="B520" s="93"/>
      <x:c r="C520" s="93"/>
      <x:c r="D520" s="93"/>
      <x:c r="E520" s="93"/>
      <x:c r="F520" s="93"/>
      <x:c r="G520" s="93"/>
      <x:c r="H520" s="93"/>
      <x:c r="I520" s="93"/>
      <x:c r="J520" s="93"/>
    </x:row>
    <x:row r="521" s="92" customFormat="1" ht="7.900000095367432" customHeight="1">
      <x:c r="B521" s="93"/>
      <x:c r="C521" s="93"/>
      <x:c r="D521" s="93"/>
      <x:c r="E521" s="93"/>
      <x:c r="F521" s="93"/>
      <x:c r="G521" s="93"/>
      <x:c r="H521" s="93"/>
      <x:c r="I521" s="93"/>
      <x:c r="J521" s="93"/>
    </x:row>
    <x:row r="522" s="92" customFormat="1" ht="7.900000095367432" customHeight="1">
      <x:c r="B522" s="93"/>
      <x:c r="C522" s="93"/>
      <x:c r="D522" s="93"/>
      <x:c r="E522" s="93"/>
      <x:c r="F522" s="93"/>
      <x:c r="G522" s="93"/>
      <x:c r="H522" s="93"/>
      <x:c r="I522" s="93"/>
      <x:c r="J522" s="93"/>
    </x:row>
    <x:row r="523" s="92" customFormat="1" ht="7.900000095367432" customHeight="1">
      <x:c r="B523" s="93"/>
      <x:c r="C523" s="93"/>
      <x:c r="D523" s="93"/>
      <x:c r="E523" s="93"/>
      <x:c r="F523" s="93"/>
      <x:c r="G523" s="93"/>
      <x:c r="H523" s="93"/>
      <x:c r="I523" s="93"/>
      <x:c r="J523" s="93"/>
    </x:row>
    <x:row r="524" s="92" customFormat="1" ht="7.900000095367432" customHeight="1">
      <x:c r="B524" s="93"/>
      <x:c r="C524" s="93"/>
      <x:c r="D524" s="93"/>
      <x:c r="E524" s="93"/>
      <x:c r="F524" s="93"/>
      <x:c r="G524" s="93"/>
      <x:c r="H524" s="93"/>
      <x:c r="I524" s="93"/>
      <x:c r="J524" s="93"/>
    </x:row>
    <x:row r="525" s="92" customFormat="1" ht="7.900000095367432" customHeight="1">
      <x:c r="B525" s="93"/>
      <x:c r="C525" s="93"/>
      <x:c r="D525" s="93"/>
      <x:c r="E525" s="93"/>
      <x:c r="F525" s="93"/>
      <x:c r="G525" s="93"/>
      <x:c r="H525" s="93"/>
      <x:c r="I525" s="93"/>
      <x:c r="J525" s="93"/>
    </x:row>
    <x:row r="526" s="92" customFormat="1" ht="7.900000095367432" customHeight="1">
      <x:c r="B526" s="93"/>
      <x:c r="C526" s="93"/>
      <x:c r="D526" s="93"/>
      <x:c r="E526" s="93"/>
      <x:c r="F526" s="93"/>
      <x:c r="G526" s="93"/>
      <x:c r="H526" s="93"/>
      <x:c r="I526" s="93"/>
      <x:c r="J526" s="93"/>
    </x:row>
    <x:row r="527" s="92" customFormat="1" ht="7.900000095367432" customHeight="1">
      <x:c r="B527" s="93"/>
      <x:c r="C527" s="93"/>
      <x:c r="D527" s="93"/>
      <x:c r="E527" s="93"/>
      <x:c r="F527" s="93"/>
      <x:c r="G527" s="93"/>
      <x:c r="H527" s="93"/>
      <x:c r="I527" s="93"/>
      <x:c r="J527" s="93"/>
    </x:row>
    <x:row r="528" s="92" customFormat="1" ht="7.900000095367432" customHeight="1">
      <x:c r="B528" s="93"/>
      <x:c r="C528" s="93"/>
      <x:c r="D528" s="93"/>
      <x:c r="E528" s="93"/>
      <x:c r="F528" s="93"/>
      <x:c r="G528" s="93"/>
      <x:c r="H528" s="93"/>
      <x:c r="I528" s="93"/>
      <x:c r="J528" s="93"/>
    </x:row>
    <x:row r="529" s="92" customFormat="1" ht="7.900000095367432" customHeight="1">
      <x:c r="B529" s="93"/>
      <x:c r="C529" s="93"/>
      <x:c r="D529" s="93"/>
      <x:c r="E529" s="93"/>
      <x:c r="F529" s="93"/>
      <x:c r="G529" s="93"/>
      <x:c r="H529" s="93"/>
      <x:c r="I529" s="93"/>
      <x:c r="J529" s="93"/>
    </x:row>
    <x:row r="530" s="92" customFormat="1" ht="7.900000095367432" customHeight="1">
      <x:c r="B530" s="93"/>
      <x:c r="C530" s="93"/>
      <x:c r="D530" s="93"/>
      <x:c r="E530" s="93"/>
      <x:c r="F530" s="93"/>
      <x:c r="G530" s="93"/>
      <x:c r="H530" s="93"/>
      <x:c r="I530" s="93"/>
      <x:c r="J530" s="93"/>
    </x:row>
    <x:row r="531" s="92" customFormat="1" ht="7.900000095367432" customHeight="1">
      <x:c r="B531" s="93"/>
      <x:c r="C531" s="93"/>
      <x:c r="D531" s="93"/>
      <x:c r="E531" s="93"/>
      <x:c r="F531" s="93"/>
      <x:c r="G531" s="93"/>
      <x:c r="H531" s="93"/>
      <x:c r="I531" s="93"/>
      <x:c r="J531" s="93"/>
    </x:row>
    <x:row r="532" s="92" customFormat="1" ht="7.900000095367432" customHeight="1">
      <x:c r="B532" s="93"/>
      <x:c r="C532" s="93"/>
      <x:c r="D532" s="93"/>
      <x:c r="E532" s="93"/>
      <x:c r="F532" s="93"/>
      <x:c r="G532" s="93"/>
      <x:c r="H532" s="93"/>
      <x:c r="I532" s="93"/>
      <x:c r="J532" s="93"/>
    </x:row>
    <x:row r="533" s="92" customFormat="1" ht="7.900000095367432" customHeight="1">
      <x:c r="B533" s="93"/>
      <x:c r="C533" s="93"/>
      <x:c r="D533" s="93"/>
      <x:c r="E533" s="93"/>
      <x:c r="F533" s="93"/>
      <x:c r="G533" s="93"/>
      <x:c r="H533" s="93"/>
      <x:c r="I533" s="93"/>
      <x:c r="J533" s="93"/>
    </x:row>
    <x:row r="534" s="92" customFormat="1" ht="7.900000095367432" customHeight="1">
      <x:c r="B534" s="93"/>
      <x:c r="C534" s="93"/>
      <x:c r="D534" s="93"/>
      <x:c r="E534" s="93"/>
      <x:c r="F534" s="93"/>
      <x:c r="G534" s="93"/>
      <x:c r="H534" s="93"/>
      <x:c r="I534" s="93"/>
      <x:c r="J534" s="93"/>
    </x:row>
    <x:row r="535" s="92" customFormat="1" ht="7.900000095367432" customHeight="1">
      <x:c r="B535" s="93"/>
      <x:c r="C535" s="93"/>
      <x:c r="D535" s="93"/>
      <x:c r="E535" s="93"/>
      <x:c r="F535" s="93"/>
      <x:c r="G535" s="93"/>
      <x:c r="H535" s="93"/>
      <x:c r="I535" s="93"/>
      <x:c r="J535" s="93"/>
    </x:row>
    <x:row r="536" s="92" customFormat="1" ht="7.900000095367432" customHeight="1">
      <x:c r="B536" s="93"/>
      <x:c r="C536" s="93"/>
      <x:c r="D536" s="93"/>
      <x:c r="E536" s="93"/>
      <x:c r="F536" s="93"/>
      <x:c r="G536" s="93"/>
      <x:c r="H536" s="93"/>
      <x:c r="I536" s="93"/>
      <x:c r="J536" s="93"/>
    </x:row>
    <x:row r="537" s="92" customFormat="1" ht="7.900000095367432" customHeight="1">
      <x:c r="B537" s="93"/>
      <x:c r="C537" s="93"/>
      <x:c r="D537" s="93"/>
      <x:c r="E537" s="93"/>
      <x:c r="F537" s="93"/>
      <x:c r="G537" s="93"/>
      <x:c r="H537" s="93"/>
      <x:c r="I537" s="93"/>
      <x:c r="J537" s="93"/>
    </x:row>
    <x:row r="538" s="92" customFormat="1" ht="7.900000095367432" customHeight="1">
      <x:c r="B538" s="93"/>
      <x:c r="C538" s="93"/>
      <x:c r="D538" s="93"/>
      <x:c r="E538" s="93"/>
      <x:c r="F538" s="93"/>
      <x:c r="G538" s="93"/>
      <x:c r="H538" s="93"/>
      <x:c r="I538" s="93"/>
      <x:c r="J538" s="93"/>
    </x:row>
    <x:row r="539" s="92" customFormat="1" ht="7.900000095367432" customHeight="1">
      <x:c r="B539" s="93"/>
      <x:c r="C539" s="93"/>
      <x:c r="D539" s="93"/>
      <x:c r="E539" s="93"/>
      <x:c r="F539" s="93"/>
      <x:c r="G539" s="93"/>
      <x:c r="H539" s="93"/>
      <x:c r="I539" s="93"/>
      <x:c r="J539" s="93"/>
    </x:row>
    <x:row r="540" s="92" customFormat="1" ht="7.900000095367432" customHeight="1">
      <x:c r="B540" s="93"/>
      <x:c r="C540" s="93"/>
      <x:c r="D540" s="93"/>
      <x:c r="E540" s="93"/>
      <x:c r="F540" s="93"/>
      <x:c r="G540" s="93"/>
      <x:c r="H540" s="93"/>
      <x:c r="I540" s="93"/>
      <x:c r="J540" s="93"/>
    </x:row>
    <x:row r="541" s="92" customFormat="1" ht="7.900000095367432" customHeight="1">
      <x:c r="B541" s="93"/>
      <x:c r="C541" s="93"/>
      <x:c r="D541" s="93"/>
      <x:c r="E541" s="93"/>
      <x:c r="F541" s="93"/>
      <x:c r="G541" s="93"/>
      <x:c r="H541" s="93"/>
      <x:c r="I541" s="93"/>
      <x:c r="J541" s="93"/>
    </x:row>
    <x:row r="542" s="92" customFormat="1" ht="7.900000095367432" customHeight="1">
      <x:c r="B542" s="93"/>
      <x:c r="C542" s="93"/>
      <x:c r="D542" s="93"/>
      <x:c r="E542" s="93"/>
      <x:c r="F542" s="93"/>
      <x:c r="G542" s="93"/>
      <x:c r="H542" s="93"/>
      <x:c r="I542" s="93"/>
      <x:c r="J542" s="93"/>
    </x:row>
    <x:row r="543" s="92" customFormat="1" ht="7.900000095367432" customHeight="1">
      <x:c r="B543" s="93"/>
      <x:c r="C543" s="93"/>
      <x:c r="D543" s="93"/>
      <x:c r="E543" s="93"/>
      <x:c r="F543" s="93"/>
      <x:c r="G543" s="93"/>
      <x:c r="H543" s="93"/>
      <x:c r="I543" s="93"/>
      <x:c r="J543" s="93"/>
    </x:row>
    <x:row r="544" s="92" customFormat="1" ht="7.900000095367432" customHeight="1">
      <x:c r="B544" s="93"/>
      <x:c r="C544" s="93"/>
      <x:c r="D544" s="93"/>
      <x:c r="E544" s="93"/>
      <x:c r="F544" s="93"/>
      <x:c r="G544" s="93"/>
      <x:c r="H544" s="93"/>
      <x:c r="I544" s="93"/>
      <x:c r="J544" s="93"/>
    </x:row>
    <x:row r="545" s="92" customFormat="1" ht="7.900000095367432" customHeight="1">
      <x:c r="B545" s="93"/>
      <x:c r="C545" s="93"/>
      <x:c r="D545" s="93"/>
      <x:c r="E545" s="93"/>
      <x:c r="F545" s="93"/>
      <x:c r="G545" s="93"/>
      <x:c r="H545" s="93"/>
      <x:c r="I545" s="93"/>
      <x:c r="J545" s="93"/>
    </x:row>
    <x:row r="546" s="92" customFormat="1" ht="7.900000095367432" customHeight="1">
      <x:c r="B546" s="93"/>
      <x:c r="C546" s="93"/>
      <x:c r="D546" s="93"/>
      <x:c r="E546" s="93"/>
      <x:c r="F546" s="93"/>
      <x:c r="G546" s="93"/>
      <x:c r="H546" s="93"/>
      <x:c r="I546" s="93"/>
      <x:c r="J546" s="93"/>
    </x:row>
    <x:row r="547" s="92" customFormat="1" ht="7.900000095367432" customHeight="1">
      <x:c r="B547" s="93"/>
      <x:c r="C547" s="93"/>
      <x:c r="D547" s="93"/>
      <x:c r="E547" s="93"/>
      <x:c r="F547" s="93"/>
      <x:c r="G547" s="93"/>
      <x:c r="H547" s="93"/>
      <x:c r="I547" s="93"/>
      <x:c r="J547" s="93"/>
    </x:row>
    <x:row r="548" s="92" customFormat="1" ht="7.900000095367432" customHeight="1">
      <x:c r="B548" s="93"/>
      <x:c r="C548" s="93"/>
      <x:c r="D548" s="93"/>
      <x:c r="E548" s="93"/>
      <x:c r="F548" s="93"/>
      <x:c r="G548" s="93"/>
      <x:c r="H548" s="93"/>
      <x:c r="I548" s="93"/>
      <x:c r="J548" s="93"/>
    </x:row>
    <x:row r="549" s="92" customFormat="1" ht="7.900000095367432" customHeight="1">
      <x:c r="B549" s="93"/>
      <x:c r="C549" s="93"/>
      <x:c r="D549" s="93"/>
      <x:c r="E549" s="93"/>
      <x:c r="F549" s="93"/>
      <x:c r="G549" s="93"/>
      <x:c r="H549" s="93"/>
      <x:c r="I549" s="93"/>
      <x:c r="J549" s="93"/>
    </x:row>
    <x:row r="550" s="92" customFormat="1" ht="7.900000095367432" customHeight="1">
      <x:c r="B550" s="93"/>
      <x:c r="C550" s="93"/>
      <x:c r="D550" s="93"/>
      <x:c r="E550" s="93"/>
      <x:c r="F550" s="93"/>
      <x:c r="G550" s="93"/>
      <x:c r="H550" s="93"/>
      <x:c r="I550" s="93"/>
      <x:c r="J550" s="93"/>
    </x:row>
    <x:row r="551" s="92" customFormat="1" ht="7.900000095367432" customHeight="1">
      <x:c r="B551" s="93"/>
      <x:c r="C551" s="93"/>
      <x:c r="D551" s="93"/>
      <x:c r="E551" s="93"/>
      <x:c r="F551" s="93"/>
      <x:c r="G551" s="93"/>
      <x:c r="H551" s="93"/>
      <x:c r="I551" s="93"/>
      <x:c r="J551" s="93"/>
    </x:row>
    <x:row r="552" s="92" customFormat="1" ht="7.900000095367432" customHeight="1">
      <x:c r="B552" s="93"/>
      <x:c r="C552" s="93"/>
      <x:c r="D552" s="93"/>
      <x:c r="E552" s="93"/>
      <x:c r="F552" s="93"/>
      <x:c r="G552" s="93"/>
      <x:c r="H552" s="93"/>
      <x:c r="I552" s="93"/>
      <x:c r="J552" s="93"/>
    </x:row>
    <x:row r="553" s="92" customFormat="1" ht="7.900000095367432" customHeight="1">
      <x:c r="B553" s="93"/>
      <x:c r="C553" s="93"/>
      <x:c r="D553" s="93"/>
      <x:c r="E553" s="93"/>
      <x:c r="F553" s="93"/>
      <x:c r="G553" s="93"/>
      <x:c r="H553" s="93"/>
      <x:c r="I553" s="93"/>
      <x:c r="J553" s="93"/>
    </x:row>
    <x:row r="554" s="92" customFormat="1" ht="7.900000095367432" customHeight="1">
      <x:c r="B554" s="93"/>
      <x:c r="C554" s="93"/>
      <x:c r="D554" s="93"/>
      <x:c r="E554" s="93"/>
      <x:c r="F554" s="93"/>
      <x:c r="G554" s="93"/>
      <x:c r="H554" s="93"/>
      <x:c r="I554" s="93"/>
      <x:c r="J554" s="93"/>
    </x:row>
    <x:row r="555" s="92" customFormat="1" ht="7.900000095367432" customHeight="1">
      <x:c r="B555" s="93"/>
      <x:c r="C555" s="93"/>
      <x:c r="D555" s="93"/>
      <x:c r="E555" s="93"/>
      <x:c r="F555" s="93"/>
      <x:c r="G555" s="93"/>
      <x:c r="H555" s="93"/>
      <x:c r="I555" s="93"/>
      <x:c r="J555" s="93"/>
    </x:row>
    <x:row r="556" s="92" customFormat="1" ht="7.900000095367432" customHeight="1">
      <x:c r="B556" s="93"/>
      <x:c r="C556" s="93"/>
      <x:c r="D556" s="93"/>
      <x:c r="E556" s="93"/>
      <x:c r="F556" s="93"/>
      <x:c r="G556" s="93"/>
      <x:c r="H556" s="93"/>
      <x:c r="I556" s="93"/>
      <x:c r="J556" s="93"/>
    </x:row>
    <x:row r="557" s="92" customFormat="1" ht="7.900000095367432" customHeight="1">
      <x:c r="B557" s="93"/>
      <x:c r="C557" s="93"/>
      <x:c r="D557" s="93"/>
      <x:c r="E557" s="93"/>
      <x:c r="F557" s="93"/>
      <x:c r="G557" s="93"/>
      <x:c r="H557" s="93"/>
      <x:c r="I557" s="93"/>
      <x:c r="J557" s="93"/>
    </x:row>
    <x:row r="558" s="92" customFormat="1" ht="7.900000095367432" customHeight="1">
      <x:c r="B558" s="93"/>
      <x:c r="C558" s="93"/>
      <x:c r="D558" s="93"/>
      <x:c r="E558" s="93"/>
      <x:c r="F558" s="93"/>
      <x:c r="G558" s="93"/>
      <x:c r="H558" s="93"/>
      <x:c r="I558" s="93"/>
      <x:c r="J558" s="93"/>
    </x:row>
    <x:row r="559" s="92" customFormat="1" ht="7.900000095367432" customHeight="1">
      <x:c r="B559" s="93"/>
      <x:c r="C559" s="93"/>
      <x:c r="D559" s="93"/>
      <x:c r="E559" s="93"/>
      <x:c r="F559" s="93"/>
      <x:c r="G559" s="93"/>
      <x:c r="H559" s="93"/>
      <x:c r="I559" s="93"/>
      <x:c r="J559" s="93"/>
    </x:row>
    <x:row r="560" s="92" customFormat="1" ht="7.900000095367432" customHeight="1">
      <x:c r="B560" s="93"/>
      <x:c r="C560" s="93"/>
      <x:c r="D560" s="93"/>
      <x:c r="E560" s="93"/>
      <x:c r="F560" s="93"/>
      <x:c r="G560" s="93"/>
      <x:c r="H560" s="93"/>
      <x:c r="I560" s="93"/>
      <x:c r="J560" s="93"/>
    </x:row>
    <x:row r="561" s="92" customFormat="1" ht="7.900000095367432" customHeight="1">
      <x:c r="B561" s="93"/>
      <x:c r="C561" s="93"/>
      <x:c r="D561" s="93"/>
      <x:c r="E561" s="93"/>
      <x:c r="F561" s="93"/>
      <x:c r="G561" s="93"/>
      <x:c r="H561" s="93"/>
      <x:c r="I561" s="93"/>
      <x:c r="J561" s="93"/>
    </x:row>
    <x:row r="562" s="92" customFormat="1" ht="7.900000095367432" customHeight="1">
      <x:c r="B562" s="93"/>
      <x:c r="C562" s="93"/>
      <x:c r="D562" s="93"/>
      <x:c r="E562" s="93"/>
      <x:c r="F562" s="93"/>
      <x:c r="G562" s="93"/>
      <x:c r="H562" s="93"/>
      <x:c r="I562" s="93"/>
      <x:c r="J562" s="93"/>
    </x:row>
    <x:row r="563" s="92" customFormat="1" ht="7.900000095367432" customHeight="1">
      <x:c r="B563" s="93"/>
      <x:c r="C563" s="93"/>
      <x:c r="D563" s="93"/>
      <x:c r="E563" s="93"/>
      <x:c r="F563" s="93"/>
      <x:c r="G563" s="93"/>
      <x:c r="H563" s="93"/>
      <x:c r="I563" s="93"/>
      <x:c r="J563" s="93"/>
    </x:row>
    <x:row r="564" s="92" customFormat="1" ht="7.900000095367432" customHeight="1">
      <x:c r="B564" s="93"/>
      <x:c r="C564" s="93"/>
      <x:c r="D564" s="93"/>
      <x:c r="E564" s="93"/>
      <x:c r="F564" s="93"/>
      <x:c r="G564" s="93"/>
      <x:c r="H564" s="93"/>
      <x:c r="I564" s="93"/>
      <x:c r="J564" s="93"/>
    </x:row>
    <x:row r="565" s="92" customFormat="1" ht="7.900000095367432" customHeight="1">
      <x:c r="B565" s="93"/>
      <x:c r="C565" s="93"/>
      <x:c r="D565" s="93"/>
      <x:c r="E565" s="93"/>
      <x:c r="F565" s="93"/>
      <x:c r="G565" s="93"/>
      <x:c r="H565" s="93"/>
      <x:c r="I565" s="93"/>
      <x:c r="J565" s="93"/>
    </x:row>
    <x:row r="566" s="92" customFormat="1" ht="7.900000095367432" customHeight="1">
      <x:c r="B566" s="93"/>
      <x:c r="C566" s="93"/>
      <x:c r="D566" s="93"/>
      <x:c r="E566" s="93"/>
      <x:c r="F566" s="93"/>
      <x:c r="G566" s="93"/>
      <x:c r="H566" s="93"/>
      <x:c r="I566" s="93"/>
      <x:c r="J566" s="93"/>
    </x:row>
    <x:row r="567" s="92" customFormat="1" ht="7.900000095367432" customHeight="1">
      <x:c r="B567" s="93"/>
      <x:c r="C567" s="93"/>
      <x:c r="D567" s="93"/>
      <x:c r="E567" s="93"/>
      <x:c r="F567" s="93"/>
      <x:c r="G567" s="93"/>
      <x:c r="H567" s="93"/>
      <x:c r="I567" s="93"/>
      <x:c r="J567" s="93"/>
    </x:row>
    <x:row r="568" s="92" customFormat="1" ht="7.900000095367432" customHeight="1">
      <x:c r="B568" s="93"/>
      <x:c r="C568" s="93"/>
      <x:c r="D568" s="93"/>
      <x:c r="E568" s="93"/>
      <x:c r="F568" s="93"/>
      <x:c r="G568" s="93"/>
      <x:c r="H568" s="93"/>
      <x:c r="I568" s="93"/>
      <x:c r="J568" s="93"/>
    </x:row>
    <x:row r="569" s="92" customFormat="1" ht="7.900000095367432" customHeight="1">
      <x:c r="B569" s="93"/>
      <x:c r="C569" s="93"/>
      <x:c r="D569" s="93"/>
      <x:c r="E569" s="93"/>
      <x:c r="F569" s="93"/>
      <x:c r="G569" s="93"/>
      <x:c r="H569" s="93"/>
      <x:c r="I569" s="93"/>
      <x:c r="J569" s="93"/>
    </x:row>
    <x:row r="570" s="92" customFormat="1" ht="7.900000095367432" customHeight="1">
      <x:c r="B570" s="93"/>
      <x:c r="C570" s="93"/>
      <x:c r="D570" s="93"/>
      <x:c r="E570" s="93"/>
      <x:c r="F570" s="93"/>
      <x:c r="G570" s="93"/>
      <x:c r="H570" s="93"/>
      <x:c r="I570" s="93"/>
      <x:c r="J570" s="93"/>
    </x:row>
    <x:row r="571" s="92" customFormat="1" ht="7.900000095367432" customHeight="1">
      <x:c r="B571" s="93"/>
      <x:c r="C571" s="93"/>
      <x:c r="D571" s="93"/>
      <x:c r="E571" s="93"/>
      <x:c r="F571" s="93"/>
      <x:c r="G571" s="93"/>
      <x:c r="H571" s="93"/>
      <x:c r="I571" s="93"/>
      <x:c r="J571" s="93"/>
    </x:row>
    <x:row r="572" s="92" customFormat="1" ht="7.900000095367432" customHeight="1">
      <x:c r="B572" s="93"/>
      <x:c r="C572" s="93"/>
      <x:c r="D572" s="93"/>
      <x:c r="E572" s="93"/>
      <x:c r="F572" s="93"/>
      <x:c r="G572" s="93"/>
      <x:c r="H572" s="93"/>
      <x:c r="I572" s="93"/>
      <x:c r="J572" s="93"/>
    </x:row>
    <x:row r="573" s="92" customFormat="1" ht="7.900000095367432" customHeight="1">
      <x:c r="B573" s="93"/>
      <x:c r="C573" s="93"/>
      <x:c r="D573" s="93"/>
      <x:c r="E573" s="93"/>
      <x:c r="F573" s="93"/>
      <x:c r="G573" s="93"/>
      <x:c r="H573" s="93"/>
      <x:c r="I573" s="93"/>
      <x:c r="J573" s="93"/>
    </x:row>
    <x:row r="574" s="92" customFormat="1" ht="7.900000095367432" customHeight="1">
      <x:c r="B574" s="93"/>
      <x:c r="C574" s="93"/>
      <x:c r="D574" s="93"/>
      <x:c r="E574" s="93"/>
      <x:c r="F574" s="93"/>
      <x:c r="G574" s="93"/>
      <x:c r="H574" s="93"/>
      <x:c r="I574" s="93"/>
      <x:c r="J574" s="93"/>
    </x:row>
    <x:row r="575" s="92" customFormat="1" ht="7.900000095367432" customHeight="1">
      <x:c r="B575" s="93"/>
      <x:c r="C575" s="93"/>
      <x:c r="D575" s="93"/>
      <x:c r="E575" s="93"/>
      <x:c r="F575" s="93"/>
      <x:c r="G575" s="93"/>
      <x:c r="H575" s="93"/>
      <x:c r="I575" s="93"/>
      <x:c r="J575" s="93"/>
    </x:row>
    <x:row r="576" s="92" customFormat="1" ht="7.900000095367432" customHeight="1">
      <x:c r="B576" s="93"/>
      <x:c r="C576" s="93"/>
      <x:c r="D576" s="93"/>
      <x:c r="E576" s="93"/>
      <x:c r="F576" s="93"/>
      <x:c r="G576" s="93"/>
      <x:c r="H576" s="93"/>
      <x:c r="I576" s="93"/>
      <x:c r="J576" s="93"/>
    </x:row>
    <x:row r="577" s="92" customFormat="1" ht="7.900000095367432" customHeight="1">
      <x:c r="B577" s="93"/>
      <x:c r="C577" s="93"/>
      <x:c r="D577" s="93"/>
      <x:c r="E577" s="93"/>
      <x:c r="F577" s="93"/>
      <x:c r="G577" s="93"/>
      <x:c r="H577" s="93"/>
      <x:c r="I577" s="93"/>
      <x:c r="J577" s="93"/>
    </x:row>
    <x:row r="578" s="92" customFormat="1" ht="7.900000095367432" customHeight="1">
      <x:c r="B578" s="93"/>
      <x:c r="C578" s="93"/>
      <x:c r="D578" s="93"/>
      <x:c r="E578" s="93"/>
      <x:c r="F578" s="93"/>
      <x:c r="G578" s="93"/>
      <x:c r="H578" s="93"/>
      <x:c r="I578" s="93"/>
      <x:c r="J578" s="93"/>
    </x:row>
    <x:row r="579" s="92" customFormat="1" ht="7.900000095367432" customHeight="1">
      <x:c r="B579" s="93"/>
      <x:c r="C579" s="93"/>
      <x:c r="D579" s="93"/>
      <x:c r="E579" s="93"/>
      <x:c r="F579" s="93"/>
      <x:c r="G579" s="93"/>
      <x:c r="H579" s="93"/>
      <x:c r="I579" s="93"/>
      <x:c r="J579" s="93"/>
    </x:row>
    <x:row r="580" s="92" customFormat="1" ht="7.900000095367432" customHeight="1">
      <x:c r="B580" s="93"/>
      <x:c r="C580" s="93"/>
      <x:c r="D580" s="93"/>
      <x:c r="E580" s="93"/>
      <x:c r="F580" s="93"/>
      <x:c r="G580" s="93"/>
      <x:c r="H580" s="93"/>
      <x:c r="I580" s="93"/>
      <x:c r="J580" s="93"/>
    </x:row>
    <x:row r="581" s="92" customFormat="1" ht="7.900000095367432" customHeight="1">
      <x:c r="B581" s="93"/>
      <x:c r="C581" s="93"/>
      <x:c r="D581" s="93"/>
      <x:c r="E581" s="93"/>
      <x:c r="F581" s="93"/>
      <x:c r="G581" s="93"/>
      <x:c r="H581" s="93"/>
      <x:c r="I581" s="93"/>
      <x:c r="J581" s="93"/>
    </x:row>
    <x:row r="582" s="92" customFormat="1" ht="7.900000095367432" customHeight="1">
      <x:c r="B582" s="93"/>
      <x:c r="C582" s="93"/>
      <x:c r="D582" s="93"/>
      <x:c r="E582" s="93"/>
      <x:c r="F582" s="93"/>
      <x:c r="G582" s="93"/>
      <x:c r="H582" s="93"/>
      <x:c r="I582" s="93"/>
      <x:c r="J582" s="93"/>
    </x:row>
    <x:row r="583" s="92" customFormat="1" ht="7.900000095367432" customHeight="1">
      <x:c r="B583" s="93"/>
      <x:c r="C583" s="93"/>
      <x:c r="D583" s="93"/>
      <x:c r="E583" s="93"/>
      <x:c r="F583" s="93"/>
      <x:c r="G583" s="93"/>
      <x:c r="H583" s="93"/>
      <x:c r="I583" s="93"/>
      <x:c r="J583" s="93"/>
    </x:row>
    <x:row r="584" s="92" customFormat="1" ht="7.900000095367432" customHeight="1">
      <x:c r="B584" s="93"/>
      <x:c r="C584" s="93"/>
      <x:c r="D584" s="93"/>
      <x:c r="E584" s="93"/>
      <x:c r="F584" s="93"/>
      <x:c r="G584" s="93"/>
      <x:c r="H584" s="93"/>
      <x:c r="I584" s="93"/>
      <x:c r="J584" s="93"/>
    </x:row>
    <x:row r="585" s="92" customFormat="1" ht="7.900000095367432" customHeight="1">
      <x:c r="B585" s="93"/>
      <x:c r="C585" s="93"/>
      <x:c r="D585" s="93"/>
      <x:c r="E585" s="93"/>
      <x:c r="F585" s="93"/>
      <x:c r="G585" s="93"/>
      <x:c r="H585" s="93"/>
      <x:c r="I585" s="93"/>
      <x:c r="J585" s="93"/>
    </x:row>
    <x:row r="586" s="92" customFormat="1" ht="7.900000095367432" customHeight="1">
      <x:c r="B586" s="93"/>
      <x:c r="C586" s="93"/>
      <x:c r="D586" s="93"/>
      <x:c r="E586" s="93"/>
      <x:c r="F586" s="93"/>
      <x:c r="G586" s="93"/>
      <x:c r="H586" s="93"/>
      <x:c r="I586" s="93"/>
      <x:c r="J586" s="93"/>
    </x:row>
    <x:row r="587" s="92" customFormat="1" ht="7.900000095367432" customHeight="1">
      <x:c r="B587" s="93"/>
      <x:c r="C587" s="93"/>
      <x:c r="D587" s="93"/>
      <x:c r="E587" s="93"/>
      <x:c r="F587" s="93"/>
      <x:c r="G587" s="93"/>
      <x:c r="H587" s="93"/>
      <x:c r="I587" s="93"/>
      <x:c r="J587" s="93"/>
    </x:row>
    <x:row r="588" s="92" customFormat="1" ht="7.900000095367432" customHeight="1">
      <x:c r="B588" s="93"/>
      <x:c r="C588" s="93"/>
      <x:c r="D588" s="93"/>
      <x:c r="E588" s="93"/>
      <x:c r="F588" s="93"/>
      <x:c r="G588" s="93"/>
      <x:c r="H588" s="93"/>
      <x:c r="I588" s="93"/>
      <x:c r="J588" s="93"/>
    </x:row>
    <x:row r="589" s="92" customFormat="1" ht="7.900000095367432" customHeight="1">
      <x:c r="B589" s="93"/>
      <x:c r="C589" s="93"/>
      <x:c r="D589" s="93"/>
      <x:c r="E589" s="93"/>
      <x:c r="F589" s="93"/>
      <x:c r="G589" s="93"/>
      <x:c r="H589" s="93"/>
      <x:c r="I589" s="93"/>
      <x:c r="J589" s="93"/>
    </x:row>
    <x:row r="590" s="92" customFormat="1" ht="7.900000095367432" customHeight="1">
      <x:c r="B590" s="93"/>
      <x:c r="C590" s="93"/>
      <x:c r="D590" s="93"/>
      <x:c r="E590" s="93"/>
      <x:c r="F590" s="93"/>
      <x:c r="G590" s="93"/>
      <x:c r="H590" s="93"/>
      <x:c r="I590" s="93"/>
      <x:c r="J590" s="93"/>
    </x:row>
    <x:row r="591" s="92" customFormat="1" ht="7.900000095367432" customHeight="1">
      <x:c r="B591" s="93"/>
      <x:c r="C591" s="93"/>
      <x:c r="D591" s="93"/>
      <x:c r="E591" s="93"/>
      <x:c r="F591" s="93"/>
      <x:c r="G591" s="93"/>
      <x:c r="H591" s="93"/>
      <x:c r="I591" s="93"/>
      <x:c r="J591" s="93"/>
    </x:row>
    <x:row r="592" s="92" customFormat="1" ht="7.900000095367432" customHeight="1">
      <x:c r="B592" s="93"/>
      <x:c r="C592" s="93"/>
      <x:c r="D592" s="93"/>
      <x:c r="E592" s="93"/>
      <x:c r="F592" s="93"/>
      <x:c r="G592" s="93"/>
      <x:c r="H592" s="93"/>
      <x:c r="I592" s="93"/>
      <x:c r="J592" s="93"/>
    </x:row>
    <x:row r="593" s="92" customFormat="1" ht="7.900000095367432" customHeight="1">
      <x:c r="B593" s="93"/>
      <x:c r="C593" s="93"/>
      <x:c r="D593" s="93"/>
      <x:c r="E593" s="93"/>
      <x:c r="F593" s="93"/>
      <x:c r="G593" s="93"/>
      <x:c r="H593" s="93"/>
      <x:c r="I593" s="93"/>
      <x:c r="J593" s="93"/>
    </x:row>
    <x:row r="594" s="92" customFormat="1" ht="7.900000095367432" customHeight="1">
      <x:c r="B594" s="93"/>
      <x:c r="C594" s="93"/>
      <x:c r="D594" s="93"/>
      <x:c r="E594" s="93"/>
      <x:c r="F594" s="93"/>
      <x:c r="G594" s="93"/>
      <x:c r="H594" s="93"/>
      <x:c r="I594" s="93"/>
      <x:c r="J594" s="93"/>
    </x:row>
    <x:row r="595" s="92" customFormat="1" ht="7.900000095367432" customHeight="1">
      <x:c r="B595" s="93"/>
      <x:c r="C595" s="93"/>
      <x:c r="D595" s="93"/>
      <x:c r="E595" s="93"/>
      <x:c r="F595" s="93"/>
      <x:c r="G595" s="93"/>
      <x:c r="H595" s="93"/>
      <x:c r="I595" s="93"/>
      <x:c r="J595" s="93"/>
    </x:row>
    <x:row r="596" s="92" customFormat="1" ht="7.900000095367432" customHeight="1">
      <x:c r="B596" s="93"/>
      <x:c r="C596" s="93"/>
      <x:c r="D596" s="93"/>
      <x:c r="E596" s="93"/>
      <x:c r="F596" s="93"/>
      <x:c r="G596" s="93"/>
      <x:c r="H596" s="93"/>
      <x:c r="I596" s="93"/>
      <x:c r="J596" s="93"/>
    </x:row>
    <x:row r="597" s="92" customFormat="1" ht="7.900000095367432" customHeight="1">
      <x:c r="B597" s="93"/>
      <x:c r="C597" s="93"/>
      <x:c r="D597" s="93"/>
      <x:c r="E597" s="93"/>
      <x:c r="F597" s="93"/>
      <x:c r="G597" s="93"/>
      <x:c r="H597" s="93"/>
      <x:c r="I597" s="93"/>
      <x:c r="J597" s="93"/>
    </x:row>
    <x:row r="598" s="92" customFormat="1" ht="7.900000095367432" customHeight="1">
      <x:c r="B598" s="93"/>
      <x:c r="C598" s="93"/>
      <x:c r="D598" s="93"/>
      <x:c r="E598" s="93"/>
      <x:c r="F598" s="93"/>
      <x:c r="G598" s="93"/>
      <x:c r="H598" s="93"/>
      <x:c r="I598" s="93"/>
      <x:c r="J598" s="93"/>
    </x:row>
    <x:row r="599" s="92" customFormat="1" ht="7.900000095367432" customHeight="1">
      <x:c r="B599" s="93"/>
      <x:c r="C599" s="93"/>
      <x:c r="D599" s="93"/>
      <x:c r="E599" s="93"/>
      <x:c r="F599" s="93"/>
      <x:c r="G599" s="93"/>
      <x:c r="H599" s="93"/>
      <x:c r="I599" s="93"/>
      <x:c r="J599" s="93"/>
    </x:row>
    <x:row r="600" s="92" customFormat="1" ht="7.900000095367432" customHeight="1">
      <x:c r="B600" s="93"/>
      <x:c r="C600" s="93"/>
      <x:c r="D600" s="93"/>
      <x:c r="E600" s="93"/>
      <x:c r="F600" s="93"/>
      <x:c r="G600" s="93"/>
      <x:c r="H600" s="93"/>
      <x:c r="I600" s="93"/>
      <x:c r="J600" s="93"/>
    </x:row>
    <x:row r="601" s="92" customFormat="1" ht="7.900000095367432" customHeight="1">
      <x:c r="B601" s="93"/>
      <x:c r="C601" s="93"/>
      <x:c r="D601" s="93"/>
      <x:c r="E601" s="93"/>
      <x:c r="F601" s="93"/>
      <x:c r="G601" s="93"/>
      <x:c r="H601" s="93"/>
      <x:c r="I601" s="93"/>
      <x:c r="J601" s="93"/>
    </x:row>
    <x:row r="602" s="92" customFormat="1" ht="7.900000095367432" customHeight="1">
      <x:c r="B602" s="93"/>
      <x:c r="C602" s="93"/>
      <x:c r="D602" s="93"/>
      <x:c r="E602" s="93"/>
      <x:c r="F602" s="93"/>
      <x:c r="G602" s="93"/>
      <x:c r="H602" s="93"/>
      <x:c r="I602" s="93"/>
      <x:c r="J602" s="93"/>
    </x:row>
    <x:row r="603" s="92" customFormat="1" ht="7.900000095367432" customHeight="1">
      <x:c r="B603" s="93"/>
      <x:c r="C603" s="93"/>
      <x:c r="D603" s="93"/>
      <x:c r="E603" s="93"/>
      <x:c r="F603" s="93"/>
      <x:c r="G603" s="93"/>
      <x:c r="H603" s="93"/>
      <x:c r="I603" s="93"/>
      <x:c r="J603" s="93"/>
    </x:row>
    <x:row r="604" s="92" customFormat="1" ht="7.900000095367432" customHeight="1">
      <x:c r="B604" s="93"/>
      <x:c r="C604" s="93"/>
      <x:c r="D604" s="93"/>
      <x:c r="E604" s="93"/>
      <x:c r="F604" s="93"/>
      <x:c r="G604" s="93"/>
      <x:c r="H604" s="93"/>
      <x:c r="I604" s="93"/>
      <x:c r="J604" s="93"/>
    </x:row>
    <x:row r="605" s="92" customFormat="1" ht="7.900000095367432" customHeight="1">
      <x:c r="B605" s="93"/>
      <x:c r="C605" s="93"/>
      <x:c r="D605" s="93"/>
      <x:c r="E605" s="93"/>
      <x:c r="F605" s="93"/>
      <x:c r="G605" s="93"/>
      <x:c r="H605" s="93"/>
      <x:c r="I605" s="93"/>
      <x:c r="J605" s="93"/>
    </x:row>
    <x:row r="606" s="92" customFormat="1" ht="7.900000095367432" customHeight="1">
      <x:c r="B606" s="93"/>
      <x:c r="C606" s="93"/>
      <x:c r="D606" s="93"/>
      <x:c r="E606" s="93"/>
      <x:c r="F606" s="93"/>
      <x:c r="G606" s="93"/>
      <x:c r="H606" s="93"/>
      <x:c r="I606" s="93"/>
      <x:c r="J606" s="93"/>
    </x:row>
    <x:row r="607" s="92" customFormat="1" ht="7.900000095367432" customHeight="1">
      <x:c r="B607" s="93"/>
      <x:c r="C607" s="93"/>
      <x:c r="D607" s="93"/>
      <x:c r="E607" s="93"/>
      <x:c r="F607" s="93"/>
      <x:c r="G607" s="93"/>
      <x:c r="H607" s="93"/>
      <x:c r="I607" s="93"/>
      <x:c r="J607" s="93"/>
    </x:row>
    <x:row r="608" s="92" customFormat="1" ht="7.900000095367432" customHeight="1">
      <x:c r="B608" s="93"/>
      <x:c r="C608" s="93"/>
      <x:c r="D608" s="93"/>
      <x:c r="E608" s="93"/>
      <x:c r="F608" s="93"/>
      <x:c r="G608" s="93"/>
      <x:c r="H608" s="93"/>
      <x:c r="I608" s="93"/>
      <x:c r="J608" s="93"/>
    </x:row>
    <x:row r="609" s="92" customFormat="1" ht="7.900000095367432" customHeight="1">
      <x:c r="B609" s="93"/>
      <x:c r="C609" s="93"/>
      <x:c r="D609" s="93"/>
      <x:c r="E609" s="93"/>
      <x:c r="F609" s="93"/>
      <x:c r="G609" s="93"/>
      <x:c r="H609" s="93"/>
      <x:c r="I609" s="93"/>
      <x:c r="J609" s="93"/>
    </x:row>
    <x:row r="610" s="92" customFormat="1" ht="7.900000095367432" customHeight="1">
      <x:c r="B610" s="93"/>
      <x:c r="C610" s="93"/>
      <x:c r="D610" s="93"/>
      <x:c r="E610" s="93"/>
      <x:c r="F610" s="93"/>
      <x:c r="G610" s="93"/>
      <x:c r="H610" s="93"/>
      <x:c r="I610" s="93"/>
      <x:c r="J610" s="93"/>
    </x:row>
    <x:row r="611" s="92" customFormat="1" ht="7.900000095367432" customHeight="1">
      <x:c r="B611" s="93"/>
      <x:c r="C611" s="93"/>
      <x:c r="D611" s="93"/>
      <x:c r="E611" s="93"/>
      <x:c r="F611" s="93"/>
      <x:c r="G611" s="93"/>
      <x:c r="H611" s="93"/>
      <x:c r="I611" s="93"/>
      <x:c r="J611" s="93"/>
    </x:row>
    <x:row r="612" s="92" customFormat="1" ht="7.900000095367432" customHeight="1">
      <x:c r="B612" s="93"/>
      <x:c r="C612" s="93"/>
      <x:c r="D612" s="93"/>
      <x:c r="E612" s="93"/>
      <x:c r="F612" s="93"/>
      <x:c r="G612" s="93"/>
      <x:c r="H612" s="93"/>
      <x:c r="I612" s="93"/>
      <x:c r="J612" s="93"/>
    </x:row>
    <x:row r="613" s="92" customFormat="1" ht="7.900000095367432" customHeight="1">
      <x:c r="B613" s="93"/>
      <x:c r="C613" s="93"/>
      <x:c r="D613" s="93"/>
      <x:c r="E613" s="93"/>
      <x:c r="F613" s="93"/>
      <x:c r="G613" s="93"/>
      <x:c r="H613" s="93"/>
      <x:c r="I613" s="93"/>
      <x:c r="J613" s="93"/>
    </x:row>
    <x:row r="614" s="92" customFormat="1" ht="7.900000095367432" customHeight="1">
      <x:c r="B614" s="93"/>
      <x:c r="C614" s="93"/>
      <x:c r="D614" s="93"/>
      <x:c r="E614" s="93"/>
      <x:c r="F614" s="93"/>
      <x:c r="G614" s="93"/>
      <x:c r="H614" s="93"/>
      <x:c r="I614" s="93"/>
      <x:c r="J614" s="93"/>
    </x:row>
    <x:row r="615" s="92" customFormat="1" ht="7.900000095367432" customHeight="1">
      <x:c r="B615" s="93"/>
      <x:c r="C615" s="93"/>
      <x:c r="D615" s="93"/>
      <x:c r="E615" s="93"/>
      <x:c r="F615" s="93"/>
      <x:c r="G615" s="93"/>
      <x:c r="H615" s="93"/>
      <x:c r="I615" s="93"/>
      <x:c r="J615" s="93"/>
    </x:row>
    <x:row r="616" s="92" customFormat="1" ht="7.900000095367432" customHeight="1">
      <x:c r="B616" s="93"/>
      <x:c r="C616" s="93"/>
      <x:c r="D616" s="93"/>
      <x:c r="E616" s="93"/>
      <x:c r="F616" s="93"/>
      <x:c r="G616" s="93"/>
      <x:c r="H616" s="93"/>
      <x:c r="I616" s="93"/>
      <x:c r="J616" s="93"/>
    </x:row>
    <x:row r="617" s="92" customFormat="1" ht="7.900000095367432" customHeight="1">
      <x:c r="B617" s="93"/>
      <x:c r="C617" s="93"/>
      <x:c r="D617" s="93"/>
      <x:c r="E617" s="93"/>
      <x:c r="F617" s="93"/>
      <x:c r="G617" s="93"/>
      <x:c r="H617" s="93"/>
      <x:c r="I617" s="93"/>
      <x:c r="J617" s="93"/>
    </x:row>
    <x:row r="618" s="92" customFormat="1" ht="7.900000095367432" customHeight="1">
      <x:c r="B618" s="93"/>
      <x:c r="C618" s="93"/>
      <x:c r="D618" s="93"/>
      <x:c r="E618" s="93"/>
      <x:c r="F618" s="93"/>
      <x:c r="G618" s="93"/>
      <x:c r="H618" s="93"/>
      <x:c r="I618" s="93"/>
      <x:c r="J618" s="93"/>
    </x:row>
    <x:row r="619" s="92" customFormat="1" ht="7.900000095367432" customHeight="1">
      <x:c r="B619" s="93"/>
      <x:c r="C619" s="93"/>
      <x:c r="D619" s="93"/>
      <x:c r="E619" s="93"/>
      <x:c r="F619" s="93"/>
      <x:c r="G619" s="93"/>
      <x:c r="H619" s="93"/>
      <x:c r="I619" s="93"/>
      <x:c r="J619" s="93"/>
    </x:row>
    <x:row r="620" s="92" customFormat="1" ht="7.900000095367432" customHeight="1">
      <x:c r="B620" s="93"/>
      <x:c r="C620" s="93"/>
      <x:c r="D620" s="93"/>
      <x:c r="E620" s="93"/>
      <x:c r="F620" s="93"/>
      <x:c r="G620" s="93"/>
      <x:c r="H620" s="93"/>
      <x:c r="I620" s="93"/>
      <x:c r="J620" s="93"/>
    </x:row>
    <x:row r="621" s="92" customFormat="1" ht="7.900000095367432" customHeight="1">
      <x:c r="B621" s="93"/>
      <x:c r="C621" s="93"/>
      <x:c r="D621" s="93"/>
      <x:c r="E621" s="93"/>
      <x:c r="F621" s="93"/>
      <x:c r="G621" s="93"/>
      <x:c r="H621" s="93"/>
      <x:c r="I621" s="93"/>
      <x:c r="J621" s="93"/>
    </x:row>
    <x:row r="622" s="92" customFormat="1" ht="7.900000095367432" customHeight="1">
      <x:c r="B622" s="93"/>
      <x:c r="C622" s="93"/>
      <x:c r="D622" s="93"/>
      <x:c r="E622" s="93"/>
      <x:c r="F622" s="93"/>
      <x:c r="G622" s="93"/>
      <x:c r="H622" s="93"/>
      <x:c r="I622" s="93"/>
      <x:c r="J622" s="93"/>
    </x:row>
    <x:row r="623" s="92" customFormat="1" ht="7.900000095367432" customHeight="1">
      <x:c r="B623" s="93"/>
      <x:c r="C623" s="93"/>
      <x:c r="D623" s="93"/>
      <x:c r="E623" s="93"/>
      <x:c r="F623" s="93"/>
      <x:c r="G623" s="93"/>
      <x:c r="H623" s="93"/>
      <x:c r="I623" s="93"/>
      <x:c r="J623" s="93"/>
    </x:row>
    <x:row r="624" s="92" customFormat="1" ht="7.900000095367432" customHeight="1">
      <x:c r="B624" s="93"/>
      <x:c r="C624" s="93"/>
      <x:c r="D624" s="93"/>
      <x:c r="E624" s="93"/>
      <x:c r="F624" s="93"/>
      <x:c r="G624" s="93"/>
      <x:c r="H624" s="93"/>
      <x:c r="I624" s="93"/>
      <x:c r="J624" s="93"/>
    </x:row>
    <x:row r="625" s="92" customFormat="1" ht="7.900000095367432" customHeight="1">
      <x:c r="B625" s="93"/>
      <x:c r="C625" s="93"/>
      <x:c r="D625" s="93"/>
      <x:c r="E625" s="93"/>
      <x:c r="F625" s="93"/>
      <x:c r="G625" s="93"/>
      <x:c r="H625" s="93"/>
      <x:c r="I625" s="93"/>
      <x:c r="J625" s="93"/>
    </x:row>
    <x:row r="626" s="92" customFormat="1" ht="7.900000095367432" customHeight="1">
      <x:c r="B626" s="93"/>
      <x:c r="C626" s="93"/>
      <x:c r="D626" s="93"/>
      <x:c r="E626" s="93"/>
      <x:c r="F626" s="93"/>
      <x:c r="G626" s="93"/>
      <x:c r="H626" s="93"/>
      <x:c r="I626" s="93"/>
      <x:c r="J626" s="93"/>
    </x:row>
    <x:row r="627" s="92" customFormat="1" ht="7.900000095367432" customHeight="1">
      <x:c r="B627" s="93"/>
      <x:c r="C627" s="93"/>
      <x:c r="D627" s="93"/>
      <x:c r="E627" s="93"/>
      <x:c r="F627" s="93"/>
      <x:c r="G627" s="93"/>
      <x:c r="H627" s="93"/>
      <x:c r="I627" s="93"/>
      <x:c r="J627" s="93"/>
    </x:row>
    <x:row r="628" s="92" customFormat="1" ht="7.900000095367432" customHeight="1">
      <x:c r="B628" s="93"/>
      <x:c r="C628" s="93"/>
      <x:c r="D628" s="93"/>
      <x:c r="E628" s="93"/>
      <x:c r="F628" s="93"/>
      <x:c r="G628" s="93"/>
      <x:c r="H628" s="93"/>
      <x:c r="I628" s="93"/>
      <x:c r="J628" s="93"/>
    </x:row>
    <x:row r="629" s="92" customFormat="1" ht="7.900000095367432" customHeight="1">
      <x:c r="B629" s="93"/>
      <x:c r="C629" s="93"/>
      <x:c r="D629" s="93"/>
      <x:c r="E629" s="93"/>
      <x:c r="F629" s="93"/>
      <x:c r="G629" s="93"/>
      <x:c r="H629" s="93"/>
      <x:c r="I629" s="93"/>
      <x:c r="J629" s="93"/>
    </x:row>
    <x:row r="630" s="92" customFormat="1" ht="7.900000095367432" customHeight="1">
      <x:c r="B630" s="93"/>
      <x:c r="C630" s="93"/>
      <x:c r="D630" s="93"/>
      <x:c r="E630" s="93"/>
      <x:c r="F630" s="93"/>
      <x:c r="G630" s="93"/>
      <x:c r="H630" s="93"/>
      <x:c r="I630" s="93"/>
      <x:c r="J630" s="93"/>
    </x:row>
    <x:row r="631" s="92" customFormat="1" ht="7.900000095367432" customHeight="1">
      <x:c r="B631" s="93"/>
      <x:c r="C631" s="93"/>
      <x:c r="D631" s="93"/>
      <x:c r="E631" s="93"/>
      <x:c r="F631" s="93"/>
      <x:c r="G631" s="93"/>
      <x:c r="H631" s="93"/>
      <x:c r="I631" s="93"/>
      <x:c r="J631" s="93"/>
    </x:row>
    <x:row r="632" s="92" customFormat="1" ht="7.900000095367432" customHeight="1">
      <x:c r="B632" s="93"/>
      <x:c r="C632" s="93"/>
      <x:c r="D632" s="93"/>
      <x:c r="E632" s="93"/>
      <x:c r="F632" s="93"/>
      <x:c r="G632" s="93"/>
      <x:c r="H632" s="93"/>
      <x:c r="I632" s="93"/>
      <x:c r="J632" s="93"/>
    </x:row>
    <x:row r="633" s="92" customFormat="1" ht="7.900000095367432" customHeight="1">
      <x:c r="B633" s="93"/>
      <x:c r="C633" s="93"/>
      <x:c r="D633" s="93"/>
      <x:c r="E633" s="93"/>
      <x:c r="F633" s="93"/>
      <x:c r="G633" s="93"/>
      <x:c r="H633" s="93"/>
      <x:c r="I633" s="93"/>
      <x:c r="J633" s="93"/>
    </x:row>
    <x:row r="634" s="92" customFormat="1" ht="7.900000095367432" customHeight="1">
      <x:c r="B634" s="93"/>
      <x:c r="C634" s="93"/>
      <x:c r="D634" s="93"/>
      <x:c r="E634" s="93"/>
      <x:c r="F634" s="93"/>
      <x:c r="G634" s="93"/>
      <x:c r="H634" s="93"/>
      <x:c r="I634" s="93"/>
      <x:c r="J634" s="93"/>
    </x:row>
    <x:row r="635" s="92" customFormat="1" ht="7.900000095367432" customHeight="1">
      <x:c r="B635" s="93"/>
      <x:c r="C635" s="93"/>
      <x:c r="D635" s="93"/>
      <x:c r="E635" s="93"/>
      <x:c r="F635" s="93"/>
      <x:c r="G635" s="93"/>
      <x:c r="H635" s="93"/>
      <x:c r="I635" s="93"/>
      <x:c r="J635" s="93"/>
    </x:row>
    <x:row r="636" s="92" customFormat="1" ht="7.900000095367432" customHeight="1">
      <x:c r="B636" s="93"/>
      <x:c r="C636" s="93"/>
      <x:c r="D636" s="93"/>
      <x:c r="E636" s="93"/>
      <x:c r="F636" s="93"/>
      <x:c r="G636" s="93"/>
      <x:c r="H636" s="93"/>
      <x:c r="I636" s="93"/>
      <x:c r="J636" s="93"/>
    </x:row>
    <x:row r="637" s="92" customFormat="1" ht="7.900000095367432" customHeight="1">
      <x:c r="B637" s="93"/>
      <x:c r="C637" s="93"/>
      <x:c r="D637" s="93"/>
      <x:c r="E637" s="93"/>
      <x:c r="F637" s="93"/>
      <x:c r="G637" s="93"/>
      <x:c r="H637" s="93"/>
      <x:c r="I637" s="93"/>
      <x:c r="J637" s="93"/>
    </x:row>
    <x:row r="638" s="92" customFormat="1" ht="7.900000095367432" customHeight="1">
      <x:c r="B638" s="93"/>
      <x:c r="C638" s="93"/>
      <x:c r="D638" s="93"/>
      <x:c r="E638" s="93"/>
      <x:c r="F638" s="93"/>
      <x:c r="G638" s="93"/>
      <x:c r="H638" s="93"/>
      <x:c r="I638" s="93"/>
      <x:c r="J638" s="93"/>
    </x:row>
    <x:row r="639" s="92" customFormat="1" ht="7.900000095367432" customHeight="1">
      <x:c r="B639" s="93"/>
      <x:c r="C639" s="93"/>
      <x:c r="D639" s="93"/>
      <x:c r="E639" s="93"/>
      <x:c r="F639" s="93"/>
      <x:c r="G639" s="93"/>
      <x:c r="H639" s="93"/>
      <x:c r="I639" s="93"/>
      <x:c r="J639" s="93"/>
    </x:row>
    <x:row r="640" s="92" customFormat="1" ht="7.900000095367432" customHeight="1">
      <x:c r="B640" s="93"/>
      <x:c r="C640" s="93"/>
      <x:c r="D640" s="93"/>
      <x:c r="E640" s="93"/>
      <x:c r="F640" s="93"/>
      <x:c r="G640" s="93"/>
      <x:c r="H640" s="93"/>
      <x:c r="I640" s="93"/>
      <x:c r="J640" s="93"/>
    </x:row>
    <x:row r="641" s="92" customFormat="1" ht="7.900000095367432" customHeight="1">
      <x:c r="B641" s="93"/>
      <x:c r="C641" s="93"/>
      <x:c r="D641" s="93"/>
      <x:c r="E641" s="93"/>
      <x:c r="F641" s="93"/>
      <x:c r="G641" s="93"/>
      <x:c r="H641" s="93"/>
      <x:c r="I641" s="93"/>
      <x:c r="J641" s="93"/>
    </x:row>
    <x:row r="642" s="92" customFormat="1" ht="7.900000095367432" customHeight="1">
      <x:c r="B642" s="93"/>
      <x:c r="C642" s="93"/>
      <x:c r="D642" s="93"/>
      <x:c r="E642" s="93"/>
      <x:c r="F642" s="93"/>
      <x:c r="G642" s="93"/>
      <x:c r="H642" s="93"/>
      <x:c r="I642" s="93"/>
      <x:c r="J642" s="93"/>
    </x:row>
    <x:row r="643" s="92" customFormat="1" ht="7.900000095367432" customHeight="1">
      <x:c r="B643" s="93"/>
      <x:c r="C643" s="93"/>
      <x:c r="D643" s="93"/>
      <x:c r="E643" s="93"/>
      <x:c r="F643" s="93"/>
      <x:c r="G643" s="93"/>
      <x:c r="H643" s="93"/>
      <x:c r="I643" s="93"/>
      <x:c r="J643" s="93"/>
    </x:row>
    <x:row r="644" s="92" customFormat="1" ht="7.900000095367432" customHeight="1">
      <x:c r="B644" s="93"/>
      <x:c r="C644" s="93"/>
      <x:c r="D644" s="93"/>
      <x:c r="E644" s="93"/>
      <x:c r="F644" s="93"/>
      <x:c r="G644" s="93"/>
      <x:c r="H644" s="93"/>
      <x:c r="I644" s="93"/>
      <x:c r="J644" s="93"/>
    </x:row>
    <x:row r="645" s="92" customFormat="1" ht="7.900000095367432" customHeight="1">
      <x:c r="B645" s="93"/>
      <x:c r="C645" s="93"/>
      <x:c r="D645" s="93"/>
      <x:c r="E645" s="93"/>
      <x:c r="F645" s="93"/>
      <x:c r="G645" s="93"/>
      <x:c r="H645" s="93"/>
      <x:c r="I645" s="93"/>
      <x:c r="J645" s="93"/>
    </x:row>
    <x:row r="646" s="92" customFormat="1" ht="7.900000095367432" customHeight="1">
      <x:c r="B646" s="93"/>
      <x:c r="C646" s="93"/>
      <x:c r="D646" s="93"/>
      <x:c r="E646" s="93"/>
      <x:c r="F646" s="93"/>
      <x:c r="G646" s="93"/>
      <x:c r="H646" s="93"/>
      <x:c r="I646" s="93"/>
      <x:c r="J646" s="93"/>
    </x:row>
    <x:row r="647" s="92" customFormat="1" ht="7.900000095367432" customHeight="1">
      <x:c r="B647" s="93"/>
      <x:c r="C647" s="93"/>
      <x:c r="D647" s="93"/>
      <x:c r="E647" s="93"/>
      <x:c r="F647" s="93"/>
      <x:c r="G647" s="93"/>
      <x:c r="H647" s="93"/>
      <x:c r="I647" s="93"/>
      <x:c r="J647" s="93"/>
    </x:row>
    <x:row r="648" s="92" customFormat="1" ht="7.900000095367432" customHeight="1">
      <x:c r="B648" s="93"/>
      <x:c r="C648" s="93"/>
      <x:c r="D648" s="93"/>
      <x:c r="E648" s="93"/>
      <x:c r="F648" s="93"/>
      <x:c r="G648" s="93"/>
      <x:c r="H648" s="93"/>
      <x:c r="I648" s="93"/>
      <x:c r="J648" s="93"/>
    </x:row>
    <x:row r="649" s="92" customFormat="1" ht="7.900000095367432" customHeight="1">
      <x:c r="B649" s="93"/>
      <x:c r="C649" s="93"/>
      <x:c r="D649" s="93"/>
      <x:c r="E649" s="93"/>
      <x:c r="F649" s="93"/>
      <x:c r="G649" s="93"/>
      <x:c r="H649" s="93"/>
      <x:c r="I649" s="93"/>
      <x:c r="J649" s="93"/>
    </x:row>
    <x:row r="650" s="92" customFormat="1" ht="7.900000095367432" customHeight="1">
      <x:c r="B650" s="93"/>
      <x:c r="C650" s="93"/>
      <x:c r="D650" s="93"/>
      <x:c r="E650" s="93"/>
      <x:c r="F650" s="93"/>
      <x:c r="G650" s="93"/>
      <x:c r="H650" s="93"/>
      <x:c r="I650" s="93"/>
      <x:c r="J650" s="93"/>
    </x:row>
    <x:row r="651" s="92" customFormat="1" ht="7.900000095367432" customHeight="1">
      <x:c r="B651" s="93"/>
      <x:c r="C651" s="93"/>
      <x:c r="D651" s="93"/>
      <x:c r="E651" s="93"/>
      <x:c r="F651" s="93"/>
      <x:c r="G651" s="93"/>
      <x:c r="H651" s="93"/>
      <x:c r="I651" s="93"/>
      <x:c r="J651" s="93"/>
    </x:row>
    <x:row r="652" s="92" customFormat="1" ht="7.900000095367432" customHeight="1">
      <x:c r="B652" s="93"/>
      <x:c r="C652" s="93"/>
      <x:c r="D652" s="93"/>
      <x:c r="E652" s="93"/>
      <x:c r="F652" s="93"/>
      <x:c r="G652" s="93"/>
      <x:c r="H652" s="93"/>
      <x:c r="I652" s="93"/>
      <x:c r="J652" s="93"/>
    </x:row>
    <x:row r="653" s="92" customFormat="1" ht="7.900000095367432" customHeight="1">
      <x:c r="B653" s="93"/>
      <x:c r="C653" s="93"/>
      <x:c r="D653" s="93"/>
      <x:c r="E653" s="93"/>
      <x:c r="F653" s="93"/>
      <x:c r="G653" s="93"/>
      <x:c r="H653" s="93"/>
      <x:c r="I653" s="93"/>
      <x:c r="J653" s="93"/>
    </x:row>
    <x:row r="654" s="92" customFormat="1" ht="7.900000095367432" customHeight="1">
      <x:c r="B654" s="93"/>
      <x:c r="C654" s="93"/>
      <x:c r="D654" s="93"/>
      <x:c r="E654" s="93"/>
      <x:c r="F654" s="93"/>
      <x:c r="G654" s="93"/>
      <x:c r="H654" s="93"/>
      <x:c r="I654" s="93"/>
      <x:c r="J654" s="93"/>
    </x:row>
    <x:row r="655" s="92" customFormat="1" ht="7.900000095367432" customHeight="1">
      <x:c r="B655" s="93"/>
      <x:c r="C655" s="93"/>
      <x:c r="D655" s="93"/>
      <x:c r="E655" s="93"/>
      <x:c r="F655" s="93"/>
      <x:c r="G655" s="93"/>
      <x:c r="H655" s="93"/>
      <x:c r="I655" s="93"/>
      <x:c r="J655" s="93"/>
    </x:row>
    <x:row r="656" s="92" customFormat="1" ht="7.900000095367432" customHeight="1">
      <x:c r="B656" s="93"/>
      <x:c r="C656" s="93"/>
      <x:c r="D656" s="93"/>
      <x:c r="E656" s="93"/>
      <x:c r="F656" s="93"/>
      <x:c r="G656" s="93"/>
      <x:c r="H656" s="93"/>
      <x:c r="I656" s="93"/>
      <x:c r="J656" s="93"/>
    </x:row>
    <x:row r="657" s="92" customFormat="1" ht="7.900000095367432" customHeight="1">
      <x:c r="B657" s="93"/>
      <x:c r="C657" s="93"/>
      <x:c r="D657" s="93"/>
      <x:c r="E657" s="93"/>
      <x:c r="F657" s="93"/>
      <x:c r="G657" s="93"/>
      <x:c r="H657" s="93"/>
      <x:c r="I657" s="93"/>
      <x:c r="J657" s="93"/>
    </x:row>
    <x:row r="658" s="92" customFormat="1" ht="7.900000095367432" customHeight="1">
      <x:c r="B658" s="93"/>
      <x:c r="C658" s="93"/>
      <x:c r="D658" s="93"/>
      <x:c r="E658" s="93"/>
      <x:c r="F658" s="93"/>
      <x:c r="G658" s="93"/>
      <x:c r="H658" s="93"/>
      <x:c r="I658" s="93"/>
      <x:c r="J658" s="93"/>
    </x:row>
    <x:row r="659" s="92" customFormat="1" ht="7.900000095367432" customHeight="1">
      <x:c r="B659" s="93"/>
      <x:c r="C659" s="93"/>
      <x:c r="D659" s="93"/>
      <x:c r="E659" s="93"/>
      <x:c r="F659" s="93"/>
      <x:c r="G659" s="93"/>
      <x:c r="H659" s="93"/>
      <x:c r="I659" s="93"/>
      <x:c r="J659" s="93"/>
    </x:row>
    <x:row r="660" s="92" customFormat="1" ht="7.900000095367432" customHeight="1">
      <x:c r="B660" s="93"/>
      <x:c r="C660" s="93"/>
      <x:c r="D660" s="93"/>
      <x:c r="E660" s="93"/>
      <x:c r="F660" s="93"/>
      <x:c r="G660" s="93"/>
      <x:c r="H660" s="93"/>
      <x:c r="I660" s="93"/>
      <x:c r="J660" s="93"/>
    </x:row>
    <x:row r="661" s="92" customFormat="1" ht="7.900000095367432" customHeight="1">
      <x:c r="B661" s="93"/>
      <x:c r="C661" s="93"/>
      <x:c r="D661" s="93"/>
      <x:c r="E661" s="93"/>
      <x:c r="F661" s="93"/>
      <x:c r="G661" s="93"/>
      <x:c r="H661" s="93"/>
      <x:c r="I661" s="93"/>
      <x:c r="J661" s="93"/>
    </x:row>
    <x:row r="662" s="92" customFormat="1" ht="7.900000095367432" customHeight="1">
      <x:c r="B662" s="93"/>
      <x:c r="C662" s="93"/>
      <x:c r="D662" s="93"/>
      <x:c r="E662" s="93"/>
      <x:c r="F662" s="93"/>
      <x:c r="G662" s="93"/>
      <x:c r="H662" s="93"/>
      <x:c r="I662" s="93"/>
      <x:c r="J662" s="93"/>
    </x:row>
    <x:row r="663" s="92" customFormat="1" ht="7.900000095367432" customHeight="1">
      <x:c r="B663" s="93"/>
      <x:c r="C663" s="93"/>
      <x:c r="D663" s="93"/>
      <x:c r="E663" s="93"/>
      <x:c r="F663" s="93"/>
      <x:c r="G663" s="93"/>
      <x:c r="H663" s="93"/>
      <x:c r="I663" s="93"/>
      <x:c r="J663" s="93"/>
    </x:row>
    <x:row r="664" s="92" customFormat="1" ht="7.900000095367432" customHeight="1">
      <x:c r="B664" s="93"/>
      <x:c r="C664" s="93"/>
      <x:c r="D664" s="93"/>
      <x:c r="E664" s="93"/>
      <x:c r="F664" s="93"/>
      <x:c r="G664" s="93"/>
      <x:c r="H664" s="93"/>
      <x:c r="I664" s="93"/>
      <x:c r="J664" s="93"/>
    </x:row>
    <x:row r="665" s="92" customFormat="1" ht="7.900000095367432" customHeight="1">
      <x:c r="B665" s="93"/>
      <x:c r="C665" s="93"/>
      <x:c r="D665" s="93"/>
      <x:c r="E665" s="93"/>
      <x:c r="F665" s="93"/>
      <x:c r="G665" s="93"/>
      <x:c r="H665" s="93"/>
      <x:c r="I665" s="93"/>
      <x:c r="J665" s="93"/>
    </x:row>
    <x:row r="666" s="92" customFormat="1" ht="7.900000095367432" customHeight="1">
      <x:c r="B666" s="93"/>
      <x:c r="C666" s="93"/>
      <x:c r="D666" s="93"/>
      <x:c r="E666" s="93"/>
      <x:c r="F666" s="93"/>
      <x:c r="G666" s="93"/>
      <x:c r="H666" s="93"/>
      <x:c r="I666" s="93"/>
      <x:c r="J666" s="93"/>
    </x:row>
    <x:row r="667" s="92" customFormat="1" ht="7.900000095367432" customHeight="1">
      <x:c r="B667" s="93"/>
      <x:c r="C667" s="93"/>
      <x:c r="D667" s="93"/>
      <x:c r="E667" s="93"/>
      <x:c r="F667" s="93"/>
      <x:c r="G667" s="93"/>
      <x:c r="H667" s="93"/>
      <x:c r="I667" s="93"/>
      <x:c r="J667" s="93"/>
    </x:row>
    <x:row r="668" s="92" customFormat="1" ht="7.900000095367432" customHeight="1">
      <x:c r="B668" s="93"/>
      <x:c r="C668" s="93"/>
      <x:c r="D668" s="93"/>
      <x:c r="E668" s="93"/>
      <x:c r="F668" s="93"/>
      <x:c r="G668" s="93"/>
      <x:c r="H668" s="93"/>
      <x:c r="I668" s="93"/>
      <x:c r="J668" s="93"/>
    </x:row>
    <x:row r="669" s="92" customFormat="1" ht="7.900000095367432" customHeight="1">
      <x:c r="B669" s="93"/>
      <x:c r="C669" s="93"/>
      <x:c r="D669" s="93"/>
      <x:c r="E669" s="93"/>
      <x:c r="F669" s="93"/>
      <x:c r="G669" s="93"/>
      <x:c r="H669" s="93"/>
      <x:c r="I669" s="93"/>
      <x:c r="J669" s="93"/>
    </x:row>
    <x:row r="670" s="92" customFormat="1" ht="7.900000095367432" customHeight="1">
      <x:c r="B670" s="93"/>
      <x:c r="C670" s="93"/>
      <x:c r="D670" s="93"/>
      <x:c r="E670" s="93"/>
      <x:c r="F670" s="93"/>
      <x:c r="G670" s="93"/>
      <x:c r="H670" s="93"/>
      <x:c r="I670" s="93"/>
      <x:c r="J670" s="93"/>
    </x:row>
    <x:row r="671" s="92" customFormat="1" ht="7.900000095367432" customHeight="1">
      <x:c r="B671" s="93"/>
      <x:c r="C671" s="93"/>
      <x:c r="D671" s="93"/>
      <x:c r="E671" s="93"/>
      <x:c r="F671" s="93"/>
      <x:c r="G671" s="93"/>
      <x:c r="H671" s="93"/>
      <x:c r="I671" s="93"/>
      <x:c r="J671" s="93"/>
    </x:row>
    <x:row r="672" s="92" customFormat="1" ht="7.900000095367432" customHeight="1">
      <x:c r="B672" s="93"/>
      <x:c r="C672" s="93"/>
      <x:c r="D672" s="93"/>
      <x:c r="E672" s="93"/>
      <x:c r="F672" s="93"/>
      <x:c r="G672" s="93"/>
      <x:c r="H672" s="93"/>
      <x:c r="I672" s="93"/>
      <x:c r="J672" s="93"/>
    </x:row>
    <x:row r="673" s="92" customFormat="1" ht="7.900000095367432" customHeight="1">
      <x:c r="B673" s="93"/>
      <x:c r="C673" s="93"/>
      <x:c r="D673" s="93"/>
      <x:c r="E673" s="93"/>
      <x:c r="F673" s="93"/>
      <x:c r="G673" s="93"/>
      <x:c r="H673" s="93"/>
      <x:c r="I673" s="93"/>
      <x:c r="J673" s="93"/>
    </x:row>
    <x:row r="674" s="92" customFormat="1" ht="7.900000095367432" customHeight="1">
      <x:c r="B674" s="93"/>
      <x:c r="C674" s="93"/>
      <x:c r="D674" s="93"/>
      <x:c r="E674" s="93"/>
      <x:c r="F674" s="93"/>
      <x:c r="G674" s="93"/>
      <x:c r="H674" s="93"/>
      <x:c r="I674" s="93"/>
      <x:c r="J674" s="93"/>
    </x:row>
    <x:row r="675" s="92" customFormat="1" ht="7.900000095367432" customHeight="1">
      <x:c r="B675" s="93"/>
      <x:c r="C675" s="93"/>
      <x:c r="D675" s="93"/>
      <x:c r="E675" s="93"/>
      <x:c r="F675" s="93"/>
      <x:c r="G675" s="93"/>
      <x:c r="H675" s="93"/>
      <x:c r="I675" s="93"/>
      <x:c r="J675" s="93"/>
    </x:row>
    <x:row r="676" s="92" customFormat="1" ht="7.900000095367432" customHeight="1">
      <x:c r="B676" s="93"/>
      <x:c r="C676" s="93"/>
      <x:c r="D676" s="93"/>
      <x:c r="E676" s="93"/>
      <x:c r="F676" s="93"/>
      <x:c r="G676" s="93"/>
      <x:c r="H676" s="93"/>
      <x:c r="I676" s="93"/>
      <x:c r="J676" s="93"/>
    </x:row>
    <x:row r="677" s="92" customFormat="1" ht="7.900000095367432" customHeight="1">
      <x:c r="B677" s="93"/>
      <x:c r="C677" s="93"/>
      <x:c r="D677" s="93"/>
      <x:c r="E677" s="93"/>
      <x:c r="F677" s="93"/>
      <x:c r="G677" s="93"/>
      <x:c r="H677" s="93"/>
      <x:c r="I677" s="93"/>
      <x:c r="J677" s="93"/>
    </x:row>
    <x:row r="678" s="92" customFormat="1" ht="7.900000095367432" customHeight="1">
      <x:c r="B678" s="93"/>
      <x:c r="C678" s="93"/>
      <x:c r="D678" s="93"/>
      <x:c r="E678" s="93"/>
      <x:c r="F678" s="93"/>
      <x:c r="G678" s="93"/>
      <x:c r="H678" s="93"/>
      <x:c r="I678" s="93"/>
      <x:c r="J678" s="93"/>
    </x:row>
    <x:row r="679" s="92" customFormat="1" ht="7.900000095367432" customHeight="1">
      <x:c r="B679" s="93"/>
      <x:c r="C679" s="93"/>
      <x:c r="D679" s="93"/>
      <x:c r="E679" s="93"/>
      <x:c r="F679" s="93"/>
      <x:c r="G679" s="93"/>
      <x:c r="H679" s="93"/>
      <x:c r="I679" s="93"/>
      <x:c r="J679" s="93"/>
    </x:row>
    <x:row r="680" s="92" customFormat="1" ht="7.900000095367432" customHeight="1">
      <x:c r="B680" s="93"/>
      <x:c r="C680" s="93"/>
      <x:c r="D680" s="93"/>
      <x:c r="E680" s="93"/>
      <x:c r="F680" s="93"/>
      <x:c r="G680" s="93"/>
      <x:c r="H680" s="93"/>
      <x:c r="I680" s="93"/>
      <x:c r="J680" s="93"/>
    </x:row>
    <x:row r="681" s="92" customFormat="1" ht="7.900000095367432" customHeight="1">
      <x:c r="B681" s="93"/>
      <x:c r="C681" s="93"/>
      <x:c r="D681" s="93"/>
      <x:c r="E681" s="93"/>
      <x:c r="F681" s="93"/>
      <x:c r="G681" s="93"/>
      <x:c r="H681" s="93"/>
      <x:c r="I681" s="93"/>
      <x:c r="J681" s="93"/>
    </x:row>
    <x:row r="682" s="92" customFormat="1" ht="7.900000095367432" customHeight="1">
      <x:c r="B682" s="93"/>
      <x:c r="C682" s="93"/>
      <x:c r="D682" s="93"/>
      <x:c r="E682" s="93"/>
      <x:c r="F682" s="93"/>
      <x:c r="G682" s="93"/>
      <x:c r="H682" s="93"/>
      <x:c r="I682" s="93"/>
      <x:c r="J682" s="93"/>
    </x:row>
    <x:row r="683" s="92" customFormat="1" ht="7.900000095367432" customHeight="1">
      <x:c r="B683" s="93"/>
      <x:c r="C683" s="93"/>
      <x:c r="D683" s="93"/>
      <x:c r="E683" s="93"/>
      <x:c r="F683" s="93"/>
      <x:c r="G683" s="93"/>
      <x:c r="H683" s="93"/>
      <x:c r="I683" s="93"/>
      <x:c r="J683" s="93"/>
    </x:row>
    <x:row r="684" s="92" customFormat="1" ht="7.900000095367432" customHeight="1">
      <x:c r="B684" s="93"/>
      <x:c r="C684" s="93"/>
      <x:c r="D684" s="93"/>
      <x:c r="E684" s="93"/>
      <x:c r="F684" s="93"/>
      <x:c r="G684" s="93"/>
      <x:c r="H684" s="93"/>
      <x:c r="I684" s="93"/>
      <x:c r="J684" s="93"/>
    </x:row>
    <x:row r="685" s="92" customFormat="1" ht="7.900000095367432" customHeight="1">
      <x:c r="B685" s="93"/>
      <x:c r="C685" s="93"/>
      <x:c r="D685" s="93"/>
      <x:c r="E685" s="93"/>
      <x:c r="F685" s="93"/>
      <x:c r="G685" s="93"/>
      <x:c r="H685" s="93"/>
      <x:c r="I685" s="93"/>
      <x:c r="J685" s="93"/>
    </x:row>
    <x:row r="686" s="92" customFormat="1" ht="7.900000095367432" customHeight="1">
      <x:c r="B686" s="93"/>
      <x:c r="C686" s="93"/>
      <x:c r="D686" s="93"/>
      <x:c r="E686" s="93"/>
      <x:c r="F686" s="93"/>
      <x:c r="G686" s="93"/>
      <x:c r="H686" s="93"/>
      <x:c r="I686" s="93"/>
      <x:c r="J686" s="93"/>
    </x:row>
    <x:row r="687" s="92" customFormat="1" ht="7.900000095367432" customHeight="1">
      <x:c r="B687" s="93"/>
      <x:c r="C687" s="93"/>
      <x:c r="D687" s="93"/>
      <x:c r="E687" s="93"/>
      <x:c r="F687" s="93"/>
      <x:c r="G687" s="93"/>
      <x:c r="H687" s="93"/>
      <x:c r="I687" s="93"/>
      <x:c r="J687" s="93"/>
    </x:row>
    <x:row r="688" s="92" customFormat="1" ht="7.900000095367432" customHeight="1">
      <x:c r="B688" s="93"/>
      <x:c r="C688" s="93"/>
      <x:c r="D688" s="93"/>
      <x:c r="E688" s="93"/>
      <x:c r="F688" s="93"/>
      <x:c r="G688" s="93"/>
      <x:c r="H688" s="93"/>
      <x:c r="I688" s="93"/>
      <x:c r="J688" s="93"/>
    </x:row>
    <x:row r="689" s="92" customFormat="1" ht="7.900000095367432" customHeight="1">
      <x:c r="B689" s="93"/>
      <x:c r="C689" s="93"/>
      <x:c r="D689" s="93"/>
      <x:c r="E689" s="93"/>
      <x:c r="F689" s="93"/>
      <x:c r="G689" s="93"/>
      <x:c r="H689" s="93"/>
      <x:c r="I689" s="93"/>
      <x:c r="J689" s="93"/>
    </x:row>
    <x:row r="690" s="92" customFormat="1" ht="7.900000095367432" customHeight="1">
      <x:c r="B690" s="93"/>
      <x:c r="C690" s="93"/>
      <x:c r="D690" s="93"/>
      <x:c r="E690" s="93"/>
      <x:c r="F690" s="93"/>
      <x:c r="G690" s="93"/>
      <x:c r="H690" s="93"/>
      <x:c r="I690" s="93"/>
      <x:c r="J690" s="93"/>
    </x:row>
    <x:row r="691" s="92" customFormat="1" ht="7.900000095367432" customHeight="1">
      <x:c r="B691" s="93"/>
      <x:c r="C691" s="93"/>
      <x:c r="D691" s="93"/>
      <x:c r="E691" s="93"/>
      <x:c r="F691" s="93"/>
      <x:c r="G691" s="93"/>
      <x:c r="H691" s="93"/>
      <x:c r="I691" s="93"/>
      <x:c r="J691" s="93"/>
    </x:row>
    <x:row r="692" s="92" customFormat="1" ht="7.900000095367432" customHeight="1">
      <x:c r="B692" s="93"/>
      <x:c r="C692" s="93"/>
      <x:c r="D692" s="93"/>
      <x:c r="E692" s="93"/>
      <x:c r="F692" s="93"/>
      <x:c r="G692" s="93"/>
      <x:c r="H692" s="93"/>
      <x:c r="I692" s="93"/>
      <x:c r="J692" s="93"/>
    </x:row>
    <x:row r="693" s="92" customFormat="1" ht="7.900000095367432" customHeight="1">
      <x:c r="B693" s="93"/>
      <x:c r="C693" s="93"/>
      <x:c r="D693" s="93"/>
      <x:c r="E693" s="93"/>
      <x:c r="F693" s="93"/>
      <x:c r="G693" s="93"/>
      <x:c r="H693" s="93"/>
      <x:c r="I693" s="93"/>
      <x:c r="J693" s="93"/>
    </x:row>
    <x:row r="694" s="92" customFormat="1" ht="7.900000095367432" customHeight="1">
      <x:c r="B694" s="93"/>
      <x:c r="C694" s="93"/>
      <x:c r="D694" s="93"/>
      <x:c r="E694" s="93"/>
      <x:c r="F694" s="93"/>
      <x:c r="G694" s="93"/>
      <x:c r="H694" s="93"/>
      <x:c r="I694" s="93"/>
      <x:c r="J694" s="93"/>
    </x:row>
    <x:row r="695" s="92" customFormat="1" ht="7.900000095367432" customHeight="1">
      <x:c r="B695" s="93"/>
      <x:c r="C695" s="93"/>
      <x:c r="D695" s="93"/>
      <x:c r="E695" s="93"/>
      <x:c r="F695" s="93"/>
      <x:c r="G695" s="93"/>
      <x:c r="H695" s="93"/>
      <x:c r="I695" s="93"/>
      <x:c r="J695" s="93"/>
    </x:row>
    <x:row r="696" s="92" customFormat="1" ht="7.900000095367432" customHeight="1">
      <x:c r="B696" s="93"/>
      <x:c r="C696" s="93"/>
      <x:c r="D696" s="93"/>
      <x:c r="E696" s="93"/>
      <x:c r="F696" s="93"/>
      <x:c r="G696" s="93"/>
      <x:c r="H696" s="93"/>
      <x:c r="I696" s="93"/>
      <x:c r="J696" s="93"/>
    </x:row>
    <x:row r="697" s="92" customFormat="1" ht="7.900000095367432" customHeight="1">
      <x:c r="B697" s="93"/>
      <x:c r="C697" s="93"/>
      <x:c r="D697" s="93"/>
      <x:c r="E697" s="93"/>
      <x:c r="F697" s="93"/>
      <x:c r="G697" s="93"/>
      <x:c r="H697" s="93"/>
      <x:c r="I697" s="93"/>
      <x:c r="J697" s="93"/>
    </x:row>
    <x:row r="698" s="92" customFormat="1" ht="7.900000095367432" customHeight="1">
      <x:c r="B698" s="93"/>
      <x:c r="C698" s="93"/>
      <x:c r="D698" s="93"/>
      <x:c r="E698" s="93"/>
      <x:c r="F698" s="93"/>
      <x:c r="G698" s="93"/>
      <x:c r="H698" s="93"/>
      <x:c r="I698" s="93"/>
      <x:c r="J698" s="93"/>
    </x:row>
    <x:row r="699" s="92" customFormat="1" ht="7.900000095367432" customHeight="1">
      <x:c r="B699" s="93"/>
      <x:c r="C699" s="93"/>
      <x:c r="D699" s="93"/>
      <x:c r="E699" s="93"/>
      <x:c r="F699" s="93"/>
      <x:c r="G699" s="93"/>
      <x:c r="H699" s="93"/>
      <x:c r="I699" s="93"/>
      <x:c r="J699" s="93"/>
    </x:row>
    <x:row r="700" s="92" customFormat="1" ht="7.900000095367432" customHeight="1">
      <x:c r="B700" s="93"/>
      <x:c r="C700" s="93"/>
      <x:c r="D700" s="93"/>
      <x:c r="E700" s="93"/>
      <x:c r="F700" s="93"/>
      <x:c r="G700" s="93"/>
      <x:c r="H700" s="93"/>
      <x:c r="I700" s="93"/>
      <x:c r="J700" s="93"/>
    </x:row>
    <x:row r="701" s="92" customFormat="1" ht="7.900000095367432" customHeight="1">
      <x:c r="B701" s="93"/>
      <x:c r="C701" s="93"/>
      <x:c r="D701" s="93"/>
      <x:c r="E701" s="93"/>
      <x:c r="F701" s="93"/>
      <x:c r="G701" s="93"/>
      <x:c r="H701" s="93"/>
      <x:c r="I701" s="93"/>
      <x:c r="J701" s="93"/>
    </x:row>
    <x:row r="702" s="92" customFormat="1" ht="7.900000095367432" customHeight="1">
      <x:c r="B702" s="93"/>
      <x:c r="C702" s="93"/>
      <x:c r="D702" s="93"/>
      <x:c r="E702" s="93"/>
      <x:c r="F702" s="93"/>
      <x:c r="G702" s="93"/>
      <x:c r="H702" s="93"/>
      <x:c r="I702" s="93"/>
      <x:c r="J702" s="93"/>
    </x:row>
    <x:row r="703" s="92" customFormat="1" ht="7.900000095367432" customHeight="1">
      <x:c r="B703" s="93"/>
      <x:c r="C703" s="93"/>
      <x:c r="D703" s="93"/>
      <x:c r="E703" s="93"/>
      <x:c r="F703" s="93"/>
      <x:c r="G703" s="93"/>
      <x:c r="H703" s="93"/>
      <x:c r="I703" s="93"/>
      <x:c r="J703" s="93"/>
    </x:row>
    <x:row r="704" s="92" customFormat="1" ht="7.900000095367432" customHeight="1">
      <x:c r="B704" s="93"/>
      <x:c r="C704" s="93"/>
      <x:c r="D704" s="93"/>
      <x:c r="E704" s="93"/>
      <x:c r="F704" s="93"/>
      <x:c r="G704" s="93"/>
      <x:c r="H704" s="93"/>
      <x:c r="I704" s="93"/>
      <x:c r="J704" s="93"/>
    </x:row>
    <x:row r="705" s="92" customFormat="1" ht="7.900000095367432" customHeight="1">
      <x:c r="B705" s="93"/>
      <x:c r="C705" s="93"/>
      <x:c r="D705" s="93"/>
      <x:c r="E705" s="93"/>
      <x:c r="F705" s="93"/>
      <x:c r="G705" s="93"/>
      <x:c r="H705" s="93"/>
      <x:c r="I705" s="93"/>
      <x:c r="J705" s="93"/>
    </x:row>
    <x:row r="706" s="92" customFormat="1" ht="7.900000095367432" customHeight="1">
      <x:c r="B706" s="93"/>
      <x:c r="C706" s="93"/>
      <x:c r="D706" s="93"/>
      <x:c r="E706" s="93"/>
      <x:c r="F706" s="93"/>
      <x:c r="G706" s="93"/>
      <x:c r="H706" s="93"/>
      <x:c r="I706" s="93"/>
      <x:c r="J706" s="93"/>
    </x:row>
    <x:row r="707" s="92" customFormat="1" ht="7.900000095367432" customHeight="1">
      <x:c r="B707" s="93"/>
      <x:c r="C707" s="93"/>
      <x:c r="D707" s="93"/>
      <x:c r="E707" s="93"/>
      <x:c r="F707" s="93"/>
      <x:c r="G707" s="93"/>
      <x:c r="H707" s="93"/>
      <x:c r="I707" s="93"/>
      <x:c r="J707" s="93"/>
    </x:row>
    <x:row r="708" s="92" customFormat="1" ht="7.900000095367432" customHeight="1">
      <x:c r="B708" s="93"/>
      <x:c r="C708" s="93"/>
      <x:c r="D708" s="93"/>
      <x:c r="E708" s="93"/>
      <x:c r="F708" s="93"/>
      <x:c r="G708" s="93"/>
      <x:c r="H708" s="93"/>
      <x:c r="I708" s="93"/>
      <x:c r="J708" s="93"/>
    </x:row>
    <x:row r="709" s="92" customFormat="1" ht="7.900000095367432" customHeight="1">
      <x:c r="B709" s="93"/>
      <x:c r="C709" s="93"/>
      <x:c r="D709" s="93"/>
      <x:c r="E709" s="93"/>
      <x:c r="F709" s="93"/>
      <x:c r="G709" s="93"/>
      <x:c r="H709" s="93"/>
      <x:c r="I709" s="93"/>
      <x:c r="J709" s="93"/>
    </x:row>
    <x:row r="710" s="92" customFormat="1" ht="7.900000095367432" customHeight="1">
      <x:c r="B710" s="93"/>
      <x:c r="C710" s="93"/>
      <x:c r="D710" s="93"/>
      <x:c r="E710" s="93"/>
      <x:c r="F710" s="93"/>
      <x:c r="G710" s="93"/>
      <x:c r="H710" s="93"/>
      <x:c r="I710" s="93"/>
      <x:c r="J710" s="93"/>
    </x:row>
    <x:row r="711" s="92" customFormat="1" ht="7.900000095367432" customHeight="1">
      <x:c r="B711" s="93"/>
      <x:c r="C711" s="93"/>
      <x:c r="D711" s="93"/>
      <x:c r="E711" s="93"/>
      <x:c r="F711" s="93"/>
      <x:c r="G711" s="93"/>
      <x:c r="H711" s="93"/>
      <x:c r="I711" s="93"/>
      <x:c r="J711" s="93"/>
    </x:row>
    <x:row r="712" s="92" customFormat="1" ht="7.900000095367432" customHeight="1">
      <x:c r="B712" s="93"/>
      <x:c r="C712" s="93"/>
      <x:c r="D712" s="93"/>
      <x:c r="E712" s="93"/>
      <x:c r="F712" s="93"/>
      <x:c r="G712" s="93"/>
      <x:c r="H712" s="93"/>
      <x:c r="I712" s="93"/>
      <x:c r="J712" s="93"/>
    </x:row>
    <x:row r="713" s="92" customFormat="1" ht="7.900000095367432" customHeight="1">
      <x:c r="B713" s="93"/>
      <x:c r="C713" s="93"/>
      <x:c r="D713" s="93"/>
      <x:c r="E713" s="93"/>
      <x:c r="F713" s="93"/>
      <x:c r="G713" s="93"/>
      <x:c r="H713" s="93"/>
      <x:c r="I713" s="93"/>
      <x:c r="J713" s="93"/>
    </x:row>
    <x:row r="714" s="92" customFormat="1" ht="7.900000095367432" customHeight="1">
      <x:c r="B714" s="93"/>
      <x:c r="C714" s="93"/>
      <x:c r="D714" s="93"/>
      <x:c r="E714" s="93"/>
      <x:c r="F714" s="93"/>
      <x:c r="G714" s="93"/>
      <x:c r="H714" s="93"/>
      <x:c r="I714" s="93"/>
      <x:c r="J714" s="93"/>
    </x:row>
    <x:row r="715" s="92" customFormat="1" ht="7.900000095367432" customHeight="1">
      <x:c r="B715" s="93"/>
      <x:c r="C715" s="93"/>
      <x:c r="D715" s="93"/>
      <x:c r="E715" s="93"/>
      <x:c r="F715" s="93"/>
      <x:c r="G715" s="93"/>
      <x:c r="H715" s="93"/>
      <x:c r="I715" s="93"/>
      <x:c r="J715" s="93"/>
    </x:row>
    <x:row r="716" s="92" customFormat="1" ht="7.900000095367432" customHeight="1">
      <x:c r="B716" s="93"/>
      <x:c r="C716" s="93"/>
      <x:c r="D716" s="93"/>
      <x:c r="E716" s="93"/>
      <x:c r="F716" s="93"/>
      <x:c r="G716" s="93"/>
      <x:c r="H716" s="93"/>
      <x:c r="I716" s="93"/>
      <x:c r="J716" s="93"/>
    </x:row>
    <x:row r="717" s="92" customFormat="1" ht="7.900000095367432" customHeight="1">
      <x:c r="B717" s="93"/>
      <x:c r="C717" s="93"/>
      <x:c r="D717" s="93"/>
      <x:c r="E717" s="93"/>
      <x:c r="F717" s="93"/>
      <x:c r="G717" s="93"/>
      <x:c r="H717" s="93"/>
      <x:c r="I717" s="93"/>
      <x:c r="J717" s="93"/>
    </x:row>
    <x:row r="718" s="92" customFormat="1" ht="7.900000095367432" customHeight="1">
      <x:c r="B718" s="93"/>
      <x:c r="C718" s="93"/>
      <x:c r="D718" s="93"/>
      <x:c r="E718" s="93"/>
      <x:c r="F718" s="93"/>
      <x:c r="G718" s="93"/>
      <x:c r="H718" s="93"/>
      <x:c r="I718" s="93"/>
      <x:c r="J718" s="93"/>
    </x:row>
    <x:row r="719" s="92" customFormat="1" ht="7.900000095367432" customHeight="1">
      <x:c r="B719" s="93"/>
      <x:c r="C719" s="93"/>
      <x:c r="D719" s="93"/>
      <x:c r="E719" s="93"/>
      <x:c r="F719" s="93"/>
      <x:c r="G719" s="93"/>
      <x:c r="H719" s="93"/>
      <x:c r="I719" s="93"/>
      <x:c r="J719" s="93"/>
    </x:row>
    <x:row r="720" s="92" customFormat="1" ht="7.900000095367432" customHeight="1">
      <x:c r="B720" s="93"/>
      <x:c r="C720" s="93"/>
      <x:c r="D720" s="93"/>
      <x:c r="E720" s="93"/>
      <x:c r="F720" s="93"/>
      <x:c r="G720" s="93"/>
      <x:c r="H720" s="93"/>
      <x:c r="I720" s="93"/>
      <x:c r="J720" s="93"/>
    </x:row>
    <x:row r="721" s="92" customFormat="1" ht="7.900000095367432" customHeight="1">
      <x:c r="B721" s="93"/>
      <x:c r="C721" s="93"/>
      <x:c r="D721" s="93"/>
      <x:c r="E721" s="93"/>
      <x:c r="F721" s="93"/>
      <x:c r="G721" s="93"/>
      <x:c r="H721" s="93"/>
      <x:c r="I721" s="93"/>
      <x:c r="J721" s="93"/>
    </x:row>
    <x:row r="722" s="92" customFormat="1" ht="7.900000095367432" customHeight="1">
      <x:c r="B722" s="93"/>
      <x:c r="C722" s="93"/>
      <x:c r="D722" s="93"/>
      <x:c r="E722" s="93"/>
      <x:c r="F722" s="93"/>
      <x:c r="G722" s="93"/>
      <x:c r="H722" s="93"/>
      <x:c r="I722" s="93"/>
      <x:c r="J722" s="93"/>
    </x:row>
    <x:row r="723" s="92" customFormat="1" ht="7.900000095367432" customHeight="1">
      <x:c r="B723" s="93"/>
      <x:c r="C723" s="93"/>
      <x:c r="D723" s="93"/>
      <x:c r="E723" s="93"/>
      <x:c r="F723" s="93"/>
      <x:c r="G723" s="93"/>
      <x:c r="H723" s="93"/>
      <x:c r="I723" s="93"/>
      <x:c r="J723" s="93"/>
    </x:row>
    <x:row r="724" s="92" customFormat="1" ht="7.900000095367432" customHeight="1">
      <x:c r="B724" s="93"/>
      <x:c r="C724" s="93"/>
      <x:c r="D724" s="93"/>
      <x:c r="E724" s="93"/>
      <x:c r="F724" s="93"/>
      <x:c r="G724" s="93"/>
      <x:c r="H724" s="93"/>
      <x:c r="I724" s="93"/>
      <x:c r="J724" s="93"/>
    </x:row>
    <x:row r="725" s="92" customFormat="1" ht="7.900000095367432" customHeight="1">
      <x:c r="B725" s="93"/>
      <x:c r="C725" s="93"/>
      <x:c r="D725" s="93"/>
      <x:c r="E725" s="93"/>
      <x:c r="F725" s="93"/>
      <x:c r="G725" s="93"/>
      <x:c r="H725" s="93"/>
      <x:c r="I725" s="93"/>
      <x:c r="J725" s="93"/>
    </x:row>
    <x:row r="726" s="92" customFormat="1" ht="7.900000095367432" customHeight="1">
      <x:c r="B726" s="93"/>
      <x:c r="C726" s="93"/>
      <x:c r="D726" s="93"/>
      <x:c r="E726" s="93"/>
      <x:c r="F726" s="93"/>
      <x:c r="G726" s="93"/>
      <x:c r="H726" s="93"/>
      <x:c r="I726" s="93"/>
      <x:c r="J726" s="93"/>
    </x:row>
    <x:row r="727" s="92" customFormat="1" ht="7.900000095367432" customHeight="1">
      <x:c r="B727" s="93"/>
      <x:c r="C727" s="93"/>
      <x:c r="D727" s="93"/>
      <x:c r="E727" s="93"/>
      <x:c r="F727" s="93"/>
      <x:c r="G727" s="93"/>
      <x:c r="H727" s="93"/>
      <x:c r="I727" s="93"/>
      <x:c r="J727" s="93"/>
    </x:row>
    <x:row r="728" s="92" customFormat="1" ht="7.900000095367432" customHeight="1">
      <x:c r="B728" s="93"/>
      <x:c r="C728" s="93"/>
      <x:c r="D728" s="93"/>
      <x:c r="E728" s="93"/>
      <x:c r="F728" s="93"/>
      <x:c r="G728" s="93"/>
      <x:c r="H728" s="93"/>
      <x:c r="I728" s="93"/>
      <x:c r="J728" s="93"/>
    </x:row>
    <x:row r="729" s="92" customFormat="1" ht="7.900000095367432" customHeight="1">
      <x:c r="B729" s="93"/>
      <x:c r="C729" s="93"/>
      <x:c r="D729" s="93"/>
      <x:c r="E729" s="93"/>
      <x:c r="F729" s="93"/>
      <x:c r="G729" s="93"/>
      <x:c r="H729" s="93"/>
      <x:c r="I729" s="93"/>
      <x:c r="J729" s="93"/>
    </x:row>
    <x:row r="730" s="92" customFormat="1" ht="7.900000095367432" customHeight="1">
      <x:c r="B730" s="93"/>
      <x:c r="C730" s="93"/>
      <x:c r="D730" s="93"/>
      <x:c r="E730" s="93"/>
      <x:c r="F730" s="93"/>
      <x:c r="G730" s="93"/>
      <x:c r="H730" s="93"/>
      <x:c r="I730" s="93"/>
      <x:c r="J730" s="93"/>
    </x:row>
    <x:row r="731" s="92" customFormat="1" ht="7.900000095367432" customHeight="1">
      <x:c r="B731" s="93"/>
      <x:c r="C731" s="93"/>
      <x:c r="D731" s="93"/>
      <x:c r="E731" s="93"/>
      <x:c r="F731" s="93"/>
      <x:c r="G731" s="93"/>
      <x:c r="H731" s="93"/>
      <x:c r="I731" s="93"/>
      <x:c r="J731" s="93"/>
    </x:row>
    <x:row r="732" s="92" customFormat="1" ht="7.900000095367432" customHeight="1">
      <x:c r="B732" s="93"/>
      <x:c r="C732" s="93"/>
      <x:c r="D732" s="93"/>
      <x:c r="E732" s="93"/>
      <x:c r="F732" s="93"/>
      <x:c r="G732" s="93"/>
      <x:c r="H732" s="93"/>
      <x:c r="I732" s="93"/>
      <x:c r="J732" s="93"/>
    </x:row>
    <x:row r="733" s="92" customFormat="1" ht="7.900000095367432" customHeight="1">
      <x:c r="B733" s="93"/>
      <x:c r="C733" s="93"/>
      <x:c r="D733" s="93"/>
      <x:c r="E733" s="93"/>
      <x:c r="F733" s="93"/>
      <x:c r="G733" s="93"/>
      <x:c r="H733" s="93"/>
      <x:c r="I733" s="93"/>
      <x:c r="J733" s="93"/>
    </x:row>
    <x:row r="734" s="92" customFormat="1" ht="7.900000095367432" customHeight="1">
      <x:c r="B734" s="93"/>
      <x:c r="C734" s="93"/>
      <x:c r="D734" s="93"/>
      <x:c r="E734" s="93"/>
      <x:c r="F734" s="93"/>
      <x:c r="G734" s="93"/>
      <x:c r="H734" s="93"/>
      <x:c r="I734" s="93"/>
      <x:c r="J734" s="93"/>
    </x:row>
    <x:row r="735" s="92" customFormat="1" ht="7.900000095367432" customHeight="1">
      <x:c r="B735" s="93"/>
      <x:c r="C735" s="93"/>
      <x:c r="D735" s="93"/>
      <x:c r="E735" s="93"/>
      <x:c r="F735" s="93"/>
      <x:c r="G735" s="93"/>
      <x:c r="H735" s="93"/>
      <x:c r="I735" s="93"/>
      <x:c r="J735" s="93"/>
    </x:row>
    <x:row r="736" s="92" customFormat="1" ht="7.900000095367432" customHeight="1">
      <x:c r="B736" s="93"/>
      <x:c r="C736" s="93"/>
      <x:c r="D736" s="93"/>
      <x:c r="E736" s="93"/>
      <x:c r="F736" s="93"/>
      <x:c r="G736" s="93"/>
      <x:c r="H736" s="93"/>
      <x:c r="I736" s="93"/>
      <x:c r="J736" s="93"/>
    </x:row>
    <x:row r="737" s="92" customFormat="1" ht="7.900000095367432" customHeight="1">
      <x:c r="B737" s="93"/>
      <x:c r="C737" s="93"/>
      <x:c r="D737" s="93"/>
      <x:c r="E737" s="93"/>
      <x:c r="F737" s="93"/>
      <x:c r="G737" s="93"/>
      <x:c r="H737" s="93"/>
      <x:c r="I737" s="93"/>
      <x:c r="J737" s="93"/>
    </x:row>
    <x:row r="738" s="92" customFormat="1" ht="7.900000095367432" customHeight="1">
      <x:c r="B738" s="93"/>
      <x:c r="C738" s="93"/>
      <x:c r="D738" s="93"/>
      <x:c r="E738" s="93"/>
      <x:c r="F738" s="93"/>
      <x:c r="G738" s="93"/>
      <x:c r="H738" s="93"/>
      <x:c r="I738" s="93"/>
      <x:c r="J738" s="93"/>
    </x:row>
    <x:row r="739" s="92" customFormat="1" ht="7.900000095367432" customHeight="1">
      <x:c r="B739" s="93"/>
      <x:c r="C739" s="93"/>
      <x:c r="D739" s="93"/>
      <x:c r="E739" s="93"/>
      <x:c r="F739" s="93"/>
      <x:c r="G739" s="93"/>
      <x:c r="H739" s="93"/>
      <x:c r="I739" s="93"/>
      <x:c r="J739" s="93"/>
    </x:row>
    <x:row r="740" s="92" customFormat="1" ht="7.900000095367432" customHeight="1">
      <x:c r="B740" s="93"/>
      <x:c r="C740" s="93"/>
      <x:c r="D740" s="93"/>
      <x:c r="E740" s="93"/>
      <x:c r="F740" s="93"/>
      <x:c r="G740" s="93"/>
      <x:c r="H740" s="93"/>
      <x:c r="I740" s="93"/>
      <x:c r="J740" s="93"/>
    </x:row>
    <x:row r="741" s="92" customFormat="1" ht="7.900000095367432" customHeight="1">
      <x:c r="B741" s="93"/>
      <x:c r="C741" s="93"/>
      <x:c r="D741" s="93"/>
      <x:c r="E741" s="93"/>
      <x:c r="F741" s="93"/>
      <x:c r="G741" s="93"/>
      <x:c r="H741" s="93"/>
      <x:c r="I741" s="93"/>
      <x:c r="J741" s="93"/>
    </x:row>
    <x:row r="742" s="92" customFormat="1" ht="7.900000095367432" customHeight="1">
      <x:c r="B742" s="93"/>
      <x:c r="C742" s="93"/>
      <x:c r="D742" s="93"/>
      <x:c r="E742" s="93"/>
      <x:c r="F742" s="93"/>
      <x:c r="G742" s="93"/>
      <x:c r="H742" s="93"/>
      <x:c r="I742" s="93"/>
      <x:c r="J742" s="93"/>
    </x:row>
    <x:row r="743" s="92" customFormat="1" ht="7.900000095367432" customHeight="1">
      <x:c r="B743" s="93"/>
      <x:c r="C743" s="93"/>
      <x:c r="D743" s="93"/>
      <x:c r="E743" s="93"/>
      <x:c r="F743" s="93"/>
      <x:c r="G743" s="93"/>
      <x:c r="H743" s="93"/>
      <x:c r="I743" s="93"/>
      <x:c r="J743" s="93"/>
    </x:row>
    <x:row r="744" s="92" customFormat="1" ht="7.900000095367432" customHeight="1">
      <x:c r="B744" s="93"/>
      <x:c r="C744" s="93"/>
      <x:c r="D744" s="93"/>
      <x:c r="E744" s="93"/>
      <x:c r="F744" s="93"/>
      <x:c r="G744" s="93"/>
      <x:c r="H744" s="93"/>
      <x:c r="I744" s="93"/>
      <x:c r="J744" s="93"/>
    </x:row>
    <x:row r="745" s="92" customFormat="1" ht="7.900000095367432" customHeight="1">
      <x:c r="B745" s="93"/>
      <x:c r="C745" s="93"/>
      <x:c r="D745" s="93"/>
      <x:c r="E745" s="93"/>
      <x:c r="F745" s="93"/>
      <x:c r="G745" s="93"/>
      <x:c r="H745" s="93"/>
      <x:c r="I745" s="93"/>
      <x:c r="J745" s="93"/>
    </x:row>
    <x:row r="746" s="92" customFormat="1" ht="7.900000095367432" customHeight="1">
      <x:c r="B746" s="93"/>
      <x:c r="C746" s="93"/>
      <x:c r="D746" s="93"/>
      <x:c r="E746" s="93"/>
      <x:c r="F746" s="93"/>
      <x:c r="G746" s="93"/>
      <x:c r="H746" s="93"/>
      <x:c r="I746" s="93"/>
      <x:c r="J746" s="93"/>
    </x:row>
    <x:row r="747" s="92" customFormat="1" ht="7.900000095367432" customHeight="1">
      <x:c r="B747" s="93"/>
      <x:c r="C747" s="93"/>
      <x:c r="D747" s="93"/>
      <x:c r="E747" s="93"/>
      <x:c r="F747" s="93"/>
      <x:c r="G747" s="93"/>
      <x:c r="H747" s="93"/>
      <x:c r="I747" s="93"/>
      <x:c r="J747" s="93"/>
    </x:row>
    <x:row r="748" s="92" customFormat="1" ht="7.900000095367432" customHeight="1">
      <x:c r="B748" s="93"/>
      <x:c r="C748" s="93"/>
      <x:c r="D748" s="93"/>
      <x:c r="E748" s="93"/>
      <x:c r="F748" s="93"/>
      <x:c r="G748" s="93"/>
      <x:c r="H748" s="93"/>
      <x:c r="I748" s="93"/>
      <x:c r="J748" s="93"/>
    </x:row>
    <x:row r="749" s="92" customFormat="1" ht="7.900000095367432" customHeight="1">
      <x:c r="B749" s="93"/>
      <x:c r="C749" s="93"/>
      <x:c r="D749" s="93"/>
      <x:c r="E749" s="93"/>
      <x:c r="F749" s="93"/>
      <x:c r="G749" s="93"/>
      <x:c r="H749" s="93"/>
      <x:c r="I749" s="93"/>
      <x:c r="J749" s="93"/>
    </x:row>
    <x:row r="750" s="92" customFormat="1" ht="7.900000095367432" customHeight="1">
      <x:c r="B750" s="93"/>
      <x:c r="C750" s="93"/>
      <x:c r="D750" s="93"/>
      <x:c r="E750" s="93"/>
      <x:c r="F750" s="93"/>
      <x:c r="G750" s="93"/>
      <x:c r="H750" s="93"/>
      <x:c r="I750" s="93"/>
      <x:c r="J750" s="93"/>
    </x:row>
    <x:row r="751" s="92" customFormat="1" ht="7.900000095367432" customHeight="1">
      <x:c r="B751" s="93"/>
      <x:c r="C751" s="93"/>
      <x:c r="D751" s="93"/>
      <x:c r="E751" s="93"/>
      <x:c r="F751" s="93"/>
      <x:c r="G751" s="93"/>
      <x:c r="H751" s="93"/>
      <x:c r="I751" s="93"/>
      <x:c r="J751" s="93"/>
    </x:row>
    <x:row r="752" s="92" customFormat="1" ht="7.900000095367432" customHeight="1">
      <x:c r="B752" s="93"/>
      <x:c r="C752" s="93"/>
      <x:c r="D752" s="93"/>
      <x:c r="E752" s="93"/>
      <x:c r="F752" s="93"/>
      <x:c r="G752" s="93"/>
      <x:c r="H752" s="93"/>
      <x:c r="I752" s="93"/>
      <x:c r="J752" s="93"/>
    </x:row>
    <x:row r="753" s="92" customFormat="1" ht="7.900000095367432" customHeight="1">
      <x:c r="B753" s="93"/>
      <x:c r="C753" s="93"/>
      <x:c r="D753" s="93"/>
      <x:c r="E753" s="93"/>
      <x:c r="F753" s="93"/>
      <x:c r="G753" s="93"/>
      <x:c r="H753" s="93"/>
      <x:c r="I753" s="93"/>
      <x:c r="J753" s="93"/>
    </x:row>
    <x:row r="754" s="92" customFormat="1" ht="7.900000095367432" customHeight="1">
      <x:c r="B754" s="93"/>
      <x:c r="C754" s="93"/>
      <x:c r="D754" s="93"/>
      <x:c r="E754" s="93"/>
      <x:c r="F754" s="93"/>
      <x:c r="G754" s="93"/>
      <x:c r="H754" s="93"/>
      <x:c r="I754" s="93"/>
      <x:c r="J754" s="93"/>
    </x:row>
    <x:row r="755" s="92" customFormat="1" ht="7.900000095367432" customHeight="1">
      <x:c r="B755" s="93"/>
      <x:c r="C755" s="93"/>
      <x:c r="D755" s="93"/>
      <x:c r="E755" s="93"/>
      <x:c r="F755" s="93"/>
      <x:c r="G755" s="93"/>
      <x:c r="H755" s="93"/>
      <x:c r="I755" s="93"/>
      <x:c r="J755" s="93"/>
    </x:row>
    <x:row r="756" s="92" customFormat="1" ht="7.900000095367432" customHeight="1">
      <x:c r="B756" s="93"/>
      <x:c r="C756" s="93"/>
      <x:c r="D756" s="93"/>
      <x:c r="E756" s="93"/>
      <x:c r="F756" s="93"/>
      <x:c r="G756" s="93"/>
      <x:c r="H756" s="93"/>
      <x:c r="I756" s="93"/>
      <x:c r="J756" s="93"/>
    </x:row>
    <x:row r="757" s="92" customFormat="1" ht="7.900000095367432" customHeight="1">
      <x:c r="B757" s="93"/>
      <x:c r="C757" s="93"/>
      <x:c r="D757" s="93"/>
      <x:c r="E757" s="93"/>
      <x:c r="F757" s="93"/>
      <x:c r="G757" s="93"/>
      <x:c r="H757" s="93"/>
      <x:c r="I757" s="93"/>
      <x:c r="J757" s="93"/>
    </x:row>
    <x:row r="758" s="92" customFormat="1" ht="7.900000095367432" customHeight="1">
      <x:c r="B758" s="93"/>
      <x:c r="C758" s="93"/>
      <x:c r="D758" s="93"/>
      <x:c r="E758" s="93"/>
      <x:c r="F758" s="93"/>
      <x:c r="G758" s="93"/>
      <x:c r="H758" s="93"/>
      <x:c r="I758" s="93"/>
      <x:c r="J758" s="93"/>
    </x:row>
    <x:row r="759" s="92" customFormat="1" ht="7.900000095367432" customHeight="1">
      <x:c r="B759" s="93"/>
      <x:c r="C759" s="93"/>
      <x:c r="D759" s="93"/>
      <x:c r="E759" s="93"/>
      <x:c r="F759" s="93"/>
      <x:c r="G759" s="93"/>
      <x:c r="H759" s="93"/>
      <x:c r="I759" s="93"/>
      <x:c r="J759" s="93"/>
    </x:row>
    <x:row r="760" s="92" customFormat="1" ht="7.900000095367432" customHeight="1">
      <x:c r="B760" s="93"/>
      <x:c r="C760" s="93"/>
      <x:c r="D760" s="93"/>
      <x:c r="E760" s="93"/>
      <x:c r="F760" s="93"/>
      <x:c r="G760" s="93"/>
      <x:c r="H760" s="93"/>
      <x:c r="I760" s="93"/>
      <x:c r="J760" s="93"/>
    </x:row>
    <x:row r="761" s="92" customFormat="1" ht="7.900000095367432" customHeight="1">
      <x:c r="B761" s="93"/>
      <x:c r="C761" s="93"/>
      <x:c r="D761" s="93"/>
      <x:c r="E761" s="93"/>
      <x:c r="F761" s="93"/>
      <x:c r="G761" s="93"/>
      <x:c r="H761" s="93"/>
      <x:c r="I761" s="93"/>
      <x:c r="J761" s="93"/>
    </x:row>
    <x:row r="762" s="92" customFormat="1" ht="7.900000095367432" customHeight="1">
      <x:c r="B762" s="93"/>
      <x:c r="C762" s="93"/>
      <x:c r="D762" s="93"/>
      <x:c r="E762" s="93"/>
      <x:c r="F762" s="93"/>
      <x:c r="G762" s="93"/>
      <x:c r="H762" s="93"/>
      <x:c r="I762" s="93"/>
      <x:c r="J762" s="93"/>
    </x:row>
    <x:row r="763" s="92" customFormat="1" ht="7.900000095367432" customHeight="1">
      <x:c r="B763" s="93"/>
      <x:c r="C763" s="93"/>
      <x:c r="D763" s="93"/>
      <x:c r="E763" s="93"/>
      <x:c r="F763" s="93"/>
      <x:c r="G763" s="93"/>
      <x:c r="H763" s="93"/>
      <x:c r="I763" s="93"/>
      <x:c r="J763" s="93"/>
    </x:row>
    <x:row r="764" s="92" customFormat="1" ht="7.900000095367432" customHeight="1">
      <x:c r="B764" s="93"/>
      <x:c r="C764" s="93"/>
      <x:c r="D764" s="93"/>
      <x:c r="E764" s="93"/>
      <x:c r="F764" s="93"/>
      <x:c r="G764" s="93"/>
      <x:c r="H764" s="93"/>
      <x:c r="I764" s="93"/>
      <x:c r="J764" s="93"/>
    </x:row>
    <x:row r="765" s="92" customFormat="1" ht="7.900000095367432" customHeight="1">
      <x:c r="B765" s="93"/>
      <x:c r="C765" s="93"/>
      <x:c r="D765" s="93"/>
      <x:c r="E765" s="93"/>
      <x:c r="F765" s="93"/>
      <x:c r="G765" s="93"/>
      <x:c r="H765" s="93"/>
      <x:c r="I765" s="93"/>
      <x:c r="J765" s="93"/>
    </x:row>
    <x:row r="766" s="92" customFormat="1" ht="7.900000095367432" customHeight="1">
      <x:c r="B766" s="93"/>
      <x:c r="C766" s="93"/>
      <x:c r="D766" s="93"/>
      <x:c r="E766" s="93"/>
      <x:c r="F766" s="93"/>
      <x:c r="G766" s="93"/>
      <x:c r="H766" s="93"/>
      <x:c r="I766" s="93"/>
      <x:c r="J766" s="93"/>
    </x:row>
    <x:row r="767" s="92" customFormat="1" ht="7.900000095367432" customHeight="1">
      <x:c r="B767" s="93"/>
      <x:c r="C767" s="93"/>
      <x:c r="D767" s="93"/>
      <x:c r="E767" s="93"/>
      <x:c r="F767" s="93"/>
      <x:c r="G767" s="93"/>
      <x:c r="H767" s="93"/>
      <x:c r="I767" s="93"/>
      <x:c r="J767" s="93"/>
    </x:row>
    <x:row r="768" s="92" customFormat="1" ht="7.900000095367432" customHeight="1">
      <x:c r="B768" s="93"/>
      <x:c r="C768" s="93"/>
      <x:c r="D768" s="93"/>
      <x:c r="E768" s="93"/>
      <x:c r="F768" s="93"/>
      <x:c r="G768" s="93"/>
      <x:c r="H768" s="93"/>
      <x:c r="I768" s="93"/>
      <x:c r="J768" s="93"/>
    </x:row>
    <x:row r="769" s="92" customFormat="1" ht="7.900000095367432" customHeight="1">
      <x:c r="B769" s="93"/>
      <x:c r="C769" s="93"/>
      <x:c r="D769" s="93"/>
      <x:c r="E769" s="93"/>
      <x:c r="F769" s="93"/>
      <x:c r="G769" s="93"/>
      <x:c r="H769" s="93"/>
      <x:c r="I769" s="93"/>
      <x:c r="J769" s="93"/>
    </x:row>
    <x:row r="770" s="92" customFormat="1" ht="7.900000095367432" customHeight="1">
      <x:c r="B770" s="93"/>
      <x:c r="C770" s="93"/>
      <x:c r="D770" s="93"/>
      <x:c r="E770" s="93"/>
      <x:c r="F770" s="93"/>
      <x:c r="G770" s="93"/>
      <x:c r="H770" s="93"/>
      <x:c r="I770" s="93"/>
      <x:c r="J770" s="93"/>
    </x:row>
    <x:row r="771" s="92" customFormat="1" ht="7.900000095367432" customHeight="1">
      <x:c r="B771" s="93"/>
      <x:c r="C771" s="93"/>
      <x:c r="D771" s="93"/>
      <x:c r="E771" s="93"/>
      <x:c r="F771" s="93"/>
      <x:c r="G771" s="93"/>
      <x:c r="H771" s="93"/>
      <x:c r="I771" s="93"/>
      <x:c r="J771" s="93"/>
    </x:row>
    <x:row r="772" s="92" customFormat="1" ht="7.900000095367432" customHeight="1">
      <x:c r="B772" s="93"/>
      <x:c r="C772" s="93"/>
      <x:c r="D772" s="93"/>
      <x:c r="E772" s="93"/>
      <x:c r="F772" s="93"/>
      <x:c r="G772" s="93"/>
      <x:c r="H772" s="93"/>
      <x:c r="I772" s="93"/>
      <x:c r="J772" s="93"/>
    </x:row>
    <x:row r="773" s="92" customFormat="1" ht="7.900000095367432" customHeight="1">
      <x:c r="B773" s="93"/>
      <x:c r="C773" s="93"/>
      <x:c r="D773" s="93"/>
      <x:c r="E773" s="93"/>
      <x:c r="F773" s="93"/>
      <x:c r="G773" s="93"/>
      <x:c r="H773" s="93"/>
      <x:c r="I773" s="93"/>
      <x:c r="J773" s="93"/>
    </x:row>
    <x:row r="774" s="92" customFormat="1" ht="7.900000095367432" customHeight="1">
      <x:c r="B774" s="93"/>
      <x:c r="C774" s="93"/>
      <x:c r="D774" s="93"/>
      <x:c r="E774" s="93"/>
      <x:c r="F774" s="93"/>
      <x:c r="G774" s="93"/>
      <x:c r="H774" s="93"/>
      <x:c r="I774" s="93"/>
      <x:c r="J774" s="93"/>
    </x:row>
    <x:row r="775" s="92" customFormat="1" ht="7.900000095367432" customHeight="1">
      <x:c r="B775" s="93"/>
      <x:c r="C775" s="93"/>
      <x:c r="D775" s="93"/>
      <x:c r="E775" s="93"/>
      <x:c r="F775" s="93"/>
      <x:c r="G775" s="93"/>
      <x:c r="H775" s="93"/>
      <x:c r="I775" s="93"/>
      <x:c r="J775" s="93"/>
    </x:row>
    <x:row r="776" s="92" customFormat="1" ht="7.900000095367432" customHeight="1">
      <x:c r="B776" s="93"/>
      <x:c r="C776" s="93"/>
      <x:c r="D776" s="93"/>
      <x:c r="E776" s="93"/>
      <x:c r="F776" s="93"/>
      <x:c r="G776" s="93"/>
      <x:c r="H776" s="93"/>
      <x:c r="I776" s="93"/>
      <x:c r="J776" s="93"/>
    </x:row>
    <x:row r="777" s="92" customFormat="1" ht="7.900000095367432" customHeight="1">
      <x:c r="B777" s="93"/>
      <x:c r="C777" s="93"/>
      <x:c r="D777" s="93"/>
      <x:c r="E777" s="93"/>
      <x:c r="F777" s="93"/>
      <x:c r="G777" s="93"/>
      <x:c r="H777" s="93"/>
      <x:c r="I777" s="93"/>
      <x:c r="J777" s="93"/>
    </x:row>
    <x:row r="778" s="92" customFormat="1" ht="7.900000095367432" customHeight="1">
      <x:c r="B778" s="93"/>
      <x:c r="C778" s="93"/>
      <x:c r="D778" s="93"/>
      <x:c r="E778" s="93"/>
      <x:c r="F778" s="93"/>
      <x:c r="G778" s="93"/>
      <x:c r="H778" s="93"/>
      <x:c r="I778" s="93"/>
      <x:c r="J778" s="93"/>
    </x:row>
    <x:row r="779" s="92" customFormat="1" ht="7.900000095367432" customHeight="1">
      <x:c r="B779" s="93"/>
      <x:c r="C779" s="93"/>
      <x:c r="D779" s="93"/>
      <x:c r="E779" s="93"/>
      <x:c r="F779" s="93"/>
      <x:c r="G779" s="93"/>
      <x:c r="H779" s="93"/>
      <x:c r="I779" s="93"/>
      <x:c r="J779" s="93"/>
    </x:row>
    <x:row r="780" s="92" customFormat="1" ht="7.900000095367432" customHeight="1">
      <x:c r="B780" s="93"/>
      <x:c r="C780" s="93"/>
      <x:c r="D780" s="93"/>
      <x:c r="E780" s="93"/>
      <x:c r="F780" s="93"/>
      <x:c r="G780" s="93"/>
      <x:c r="H780" s="93"/>
      <x:c r="I780" s="93"/>
      <x:c r="J780" s="93"/>
    </x:row>
    <x:row r="781" s="92" customFormat="1" ht="7.900000095367432" customHeight="1">
      <x:c r="B781" s="93"/>
      <x:c r="C781" s="93"/>
      <x:c r="D781" s="93"/>
      <x:c r="E781" s="93"/>
      <x:c r="F781" s="93"/>
      <x:c r="G781" s="93"/>
      <x:c r="H781" s="93"/>
      <x:c r="I781" s="93"/>
      <x:c r="J781" s="93"/>
    </x:row>
    <x:row r="782" s="92" customFormat="1" ht="7.900000095367432" customHeight="1">
      <x:c r="B782" s="93"/>
      <x:c r="C782" s="93"/>
      <x:c r="D782" s="93"/>
      <x:c r="E782" s="93"/>
      <x:c r="F782" s="93"/>
      <x:c r="G782" s="93"/>
      <x:c r="H782" s="93"/>
      <x:c r="I782" s="93"/>
      <x:c r="J782" s="93"/>
    </x:row>
    <x:row r="783" s="92" customFormat="1" ht="7.900000095367432" customHeight="1">
      <x:c r="B783" s="93"/>
      <x:c r="C783" s="93"/>
      <x:c r="D783" s="93"/>
      <x:c r="E783" s="93"/>
      <x:c r="F783" s="93"/>
      <x:c r="G783" s="93"/>
      <x:c r="H783" s="93"/>
      <x:c r="I783" s="93"/>
      <x:c r="J783" s="93"/>
    </x:row>
    <x:row r="784" s="92" customFormat="1" ht="7.900000095367432" customHeight="1">
      <x:c r="B784" s="93"/>
      <x:c r="C784" s="93"/>
      <x:c r="D784" s="93"/>
      <x:c r="E784" s="93"/>
      <x:c r="F784" s="93"/>
      <x:c r="G784" s="93"/>
      <x:c r="H784" s="93"/>
      <x:c r="I784" s="93"/>
      <x:c r="J784" s="93"/>
    </x:row>
    <x:row r="785" s="92" customFormat="1" ht="7.900000095367432" customHeight="1">
      <x:c r="B785" s="93"/>
      <x:c r="C785" s="93"/>
      <x:c r="D785" s="93"/>
      <x:c r="E785" s="93"/>
      <x:c r="F785" s="93"/>
      <x:c r="G785" s="93"/>
      <x:c r="H785" s="93"/>
      <x:c r="I785" s="93"/>
      <x:c r="J785" s="93"/>
    </x:row>
    <x:row r="786" s="92" customFormat="1" ht="7.900000095367432" customHeight="1">
      <x:c r="B786" s="93"/>
      <x:c r="C786" s="93"/>
      <x:c r="D786" s="93"/>
      <x:c r="E786" s="93"/>
      <x:c r="F786" s="93"/>
      <x:c r="G786" s="93"/>
      <x:c r="H786" s="93"/>
      <x:c r="I786" s="93"/>
      <x:c r="J786" s="93"/>
    </x:row>
    <x:row r="787" s="92" customFormat="1" ht="7.900000095367432" customHeight="1">
      <x:c r="B787" s="93"/>
      <x:c r="C787" s="93"/>
      <x:c r="D787" s="93"/>
      <x:c r="E787" s="93"/>
      <x:c r="F787" s="93"/>
      <x:c r="G787" s="93"/>
      <x:c r="H787" s="93"/>
      <x:c r="I787" s="93"/>
      <x:c r="J787" s="93"/>
    </x:row>
    <x:row r="788" s="92" customFormat="1" ht="7.900000095367432" customHeight="1">
      <x:c r="B788" s="93"/>
      <x:c r="C788" s="93"/>
      <x:c r="D788" s="93"/>
      <x:c r="E788" s="93"/>
      <x:c r="F788" s="93"/>
      <x:c r="G788" s="93"/>
      <x:c r="H788" s="93"/>
      <x:c r="I788" s="93"/>
      <x:c r="J788" s="93"/>
    </x:row>
    <x:row r="789" s="92" customFormat="1" ht="7.900000095367432" customHeight="1">
      <x:c r="B789" s="93"/>
      <x:c r="C789" s="93"/>
      <x:c r="D789" s="93"/>
      <x:c r="E789" s="93"/>
      <x:c r="F789" s="93"/>
      <x:c r="G789" s="93"/>
      <x:c r="H789" s="93"/>
      <x:c r="I789" s="93"/>
      <x:c r="J789" s="93"/>
    </x:row>
    <x:row r="790" s="92" customFormat="1" ht="7.900000095367432" customHeight="1">
      <x:c r="B790" s="93"/>
      <x:c r="C790" s="93"/>
      <x:c r="D790" s="93"/>
      <x:c r="E790" s="93"/>
      <x:c r="F790" s="93"/>
      <x:c r="G790" s="93"/>
      <x:c r="H790" s="93"/>
      <x:c r="I790" s="93"/>
      <x:c r="J790" s="93"/>
    </x:row>
    <x:row r="791" s="92" customFormat="1" ht="7.900000095367432" customHeight="1">
      <x:c r="B791" s="93"/>
      <x:c r="C791" s="93"/>
      <x:c r="D791" s="93"/>
      <x:c r="E791" s="93"/>
      <x:c r="F791" s="93"/>
      <x:c r="G791" s="93"/>
      <x:c r="H791" s="93"/>
      <x:c r="I791" s="93"/>
      <x:c r="J791" s="93"/>
    </x:row>
    <x:row r="792" s="92" customFormat="1" ht="7.900000095367432" customHeight="1">
      <x:c r="B792" s="93"/>
      <x:c r="C792" s="93"/>
      <x:c r="D792" s="93"/>
      <x:c r="E792" s="93"/>
      <x:c r="F792" s="93"/>
      <x:c r="G792" s="93"/>
      <x:c r="H792" s="93"/>
      <x:c r="I792" s="93"/>
      <x:c r="J792" s="93"/>
    </x:row>
    <x:row r="793" s="92" customFormat="1" ht="7.900000095367432" customHeight="1">
      <x:c r="B793" s="93"/>
      <x:c r="C793" s="93"/>
      <x:c r="D793" s="93"/>
      <x:c r="E793" s="93"/>
      <x:c r="F793" s="93"/>
      <x:c r="G793" s="93"/>
      <x:c r="H793" s="93"/>
      <x:c r="I793" s="93"/>
      <x:c r="J793" s="93"/>
    </x:row>
    <x:row r="794" s="92" customFormat="1" ht="7.900000095367432" customHeight="1">
      <x:c r="B794" s="93"/>
      <x:c r="C794" s="93"/>
      <x:c r="D794" s="93"/>
      <x:c r="E794" s="93"/>
      <x:c r="F794" s="93"/>
      <x:c r="G794" s="93"/>
      <x:c r="H794" s="93"/>
      <x:c r="I794" s="93"/>
      <x:c r="J794" s="93"/>
    </x:row>
    <x:row r="795" s="92" customFormat="1" ht="7.900000095367432" customHeight="1">
      <x:c r="B795" s="93"/>
      <x:c r="C795" s="93"/>
      <x:c r="D795" s="93"/>
      <x:c r="E795" s="93"/>
      <x:c r="F795" s="93"/>
      <x:c r="G795" s="93"/>
      <x:c r="H795" s="93"/>
      <x:c r="I795" s="93"/>
      <x:c r="J795" s="93"/>
    </x:row>
    <x:row r="796" s="92" customFormat="1" ht="7.900000095367432" customHeight="1">
      <x:c r="B796" s="93"/>
      <x:c r="C796" s="93"/>
      <x:c r="D796" s="93"/>
      <x:c r="E796" s="93"/>
      <x:c r="F796" s="93"/>
      <x:c r="G796" s="93"/>
      <x:c r="H796" s="93"/>
      <x:c r="I796" s="93"/>
      <x:c r="J796" s="93"/>
    </x:row>
    <x:row r="797" s="92" customFormat="1" ht="7.900000095367432" customHeight="1">
      <x:c r="B797" s="93"/>
      <x:c r="C797" s="93"/>
      <x:c r="D797" s="93"/>
      <x:c r="E797" s="93"/>
      <x:c r="F797" s="93"/>
      <x:c r="G797" s="93"/>
      <x:c r="H797" s="93"/>
      <x:c r="I797" s="93"/>
      <x:c r="J797" s="93"/>
    </x:row>
    <x:row r="798" s="92" customFormat="1" ht="7.900000095367432" customHeight="1">
      <x:c r="B798" s="93"/>
      <x:c r="C798" s="93"/>
      <x:c r="D798" s="93"/>
      <x:c r="E798" s="93"/>
      <x:c r="F798" s="93"/>
      <x:c r="G798" s="93"/>
      <x:c r="H798" s="93"/>
      <x:c r="I798" s="93"/>
      <x:c r="J798" s="93"/>
    </x:row>
    <x:row r="799" s="92" customFormat="1" ht="7.900000095367432" customHeight="1">
      <x:c r="B799" s="93"/>
      <x:c r="C799" s="93"/>
      <x:c r="D799" s="93"/>
      <x:c r="E799" s="93"/>
      <x:c r="F799" s="93"/>
      <x:c r="G799" s="93"/>
      <x:c r="H799" s="93"/>
      <x:c r="I799" s="93"/>
      <x:c r="J799" s="93"/>
    </x:row>
    <x:row r="800" s="92" customFormat="1" ht="7.900000095367432" customHeight="1">
      <x:c r="B800" s="93"/>
      <x:c r="C800" s="93"/>
      <x:c r="D800" s="93"/>
      <x:c r="E800" s="93"/>
      <x:c r="F800" s="93"/>
      <x:c r="G800" s="93"/>
      <x:c r="H800" s="93"/>
      <x:c r="I800" s="93"/>
      <x:c r="J800" s="93"/>
    </x:row>
    <x:row r="801" s="92" customFormat="1" ht="7.900000095367432" customHeight="1">
      <x:c r="B801" s="93"/>
      <x:c r="C801" s="93"/>
      <x:c r="D801" s="93"/>
      <x:c r="E801" s="93"/>
      <x:c r="F801" s="93"/>
      <x:c r="G801" s="93"/>
      <x:c r="H801" s="93"/>
      <x:c r="I801" s="93"/>
      <x:c r="J801" s="93"/>
    </x:row>
    <x:row r="802" s="92" customFormat="1" ht="7.900000095367432" customHeight="1">
      <x:c r="B802" s="93"/>
      <x:c r="C802" s="93"/>
      <x:c r="D802" s="93"/>
      <x:c r="E802" s="93"/>
      <x:c r="F802" s="93"/>
      <x:c r="G802" s="93"/>
      <x:c r="H802" s="93"/>
      <x:c r="I802" s="93"/>
      <x:c r="J802" s="93"/>
    </x:row>
    <x:row r="803" s="92" customFormat="1" ht="7.900000095367432" customHeight="1">
      <x:c r="B803" s="93"/>
      <x:c r="C803" s="93"/>
      <x:c r="D803" s="93"/>
      <x:c r="E803" s="93"/>
      <x:c r="F803" s="93"/>
      <x:c r="G803" s="93"/>
      <x:c r="H803" s="93"/>
      <x:c r="I803" s="93"/>
      <x:c r="J803" s="93"/>
    </x:row>
    <x:row r="804" s="92" customFormat="1" ht="7.900000095367432" customHeight="1">
      <x:c r="B804" s="93"/>
      <x:c r="C804" s="93"/>
      <x:c r="D804" s="93"/>
      <x:c r="E804" s="93"/>
      <x:c r="F804" s="93"/>
      <x:c r="G804" s="93"/>
      <x:c r="H804" s="93"/>
      <x:c r="I804" s="93"/>
      <x:c r="J804" s="93"/>
    </x:row>
    <x:row r="805" s="92" customFormat="1" ht="7.900000095367432" customHeight="1">
      <x:c r="B805" s="93"/>
      <x:c r="C805" s="93"/>
      <x:c r="D805" s="93"/>
      <x:c r="E805" s="93"/>
      <x:c r="F805" s="93"/>
      <x:c r="G805" s="93"/>
      <x:c r="H805" s="93"/>
      <x:c r="I805" s="93"/>
      <x:c r="J805" s="93"/>
    </x:row>
    <x:row r="806" s="92" customFormat="1" ht="7.900000095367432" customHeight="1">
      <x:c r="B806" s="93"/>
      <x:c r="C806" s="93"/>
      <x:c r="D806" s="93"/>
      <x:c r="E806" s="93"/>
      <x:c r="F806" s="93"/>
      <x:c r="G806" s="93"/>
      <x:c r="H806" s="93"/>
      <x:c r="I806" s="93"/>
      <x:c r="J806" s="93"/>
    </x:row>
    <x:row r="807" s="92" customFormat="1" ht="7.900000095367432" customHeight="1">
      <x:c r="B807" s="93"/>
      <x:c r="C807" s="93"/>
      <x:c r="D807" s="93"/>
      <x:c r="E807" s="93"/>
      <x:c r="F807" s="93"/>
      <x:c r="G807" s="93"/>
      <x:c r="H807" s="93"/>
      <x:c r="I807" s="93"/>
      <x:c r="J807" s="93"/>
    </x:row>
    <x:row r="808" s="92" customFormat="1" ht="7.900000095367432" customHeight="1">
      <x:c r="B808" s="93"/>
      <x:c r="C808" s="93"/>
      <x:c r="D808" s="93"/>
      <x:c r="E808" s="93"/>
      <x:c r="F808" s="93"/>
      <x:c r="G808" s="93"/>
      <x:c r="H808" s="93"/>
      <x:c r="I808" s="93"/>
      <x:c r="J808" s="93"/>
    </x:row>
    <x:row r="809" s="92" customFormat="1" ht="7.900000095367432" customHeight="1">
      <x:c r="B809" s="93"/>
      <x:c r="C809" s="93"/>
      <x:c r="D809" s="93"/>
      <x:c r="E809" s="93"/>
      <x:c r="F809" s="93"/>
      <x:c r="G809" s="93"/>
      <x:c r="H809" s="93"/>
      <x:c r="I809" s="93"/>
      <x:c r="J809" s="93"/>
    </x:row>
    <x:row r="810" s="92" customFormat="1" ht="7.900000095367432" customHeight="1">
      <x:c r="B810" s="93"/>
      <x:c r="C810" s="93"/>
      <x:c r="D810" s="93"/>
      <x:c r="E810" s="93"/>
      <x:c r="F810" s="93"/>
      <x:c r="G810" s="93"/>
      <x:c r="H810" s="93"/>
      <x:c r="I810" s="93"/>
      <x:c r="J810" s="93"/>
    </x:row>
    <x:row r="811" s="92" customFormat="1" ht="7.900000095367432" customHeight="1">
      <x:c r="B811" s="93"/>
      <x:c r="C811" s="93"/>
      <x:c r="D811" s="93"/>
      <x:c r="E811" s="93"/>
      <x:c r="F811" s="93"/>
      <x:c r="G811" s="93"/>
      <x:c r="H811" s="93"/>
      <x:c r="I811" s="93"/>
      <x:c r="J811" s="93"/>
    </x:row>
    <x:row r="812" s="92" customFormat="1" ht="7.900000095367432" customHeight="1">
      <x:c r="B812" s="93"/>
      <x:c r="C812" s="93"/>
      <x:c r="D812" s="93"/>
      <x:c r="E812" s="93"/>
      <x:c r="F812" s="93"/>
      <x:c r="G812" s="93"/>
      <x:c r="H812" s="93"/>
      <x:c r="I812" s="93"/>
      <x:c r="J812" s="93"/>
    </x:row>
    <x:row r="813" s="92" customFormat="1" ht="7.900000095367432" customHeight="1">
      <x:c r="B813" s="93"/>
      <x:c r="C813" s="93"/>
      <x:c r="D813" s="93"/>
      <x:c r="E813" s="93"/>
      <x:c r="F813" s="93"/>
      <x:c r="G813" s="93"/>
      <x:c r="H813" s="93"/>
      <x:c r="I813" s="93"/>
      <x:c r="J813" s="93"/>
    </x:row>
    <x:row r="814" s="92" customFormat="1" ht="7.900000095367432" customHeight="1">
      <x:c r="B814" s="93"/>
      <x:c r="C814" s="93"/>
      <x:c r="D814" s="93"/>
      <x:c r="E814" s="93"/>
      <x:c r="F814" s="93"/>
      <x:c r="G814" s="93"/>
      <x:c r="H814" s="93"/>
      <x:c r="I814" s="93"/>
      <x:c r="J814" s="93"/>
    </x:row>
    <x:row r="815" s="92" customFormat="1" ht="7.900000095367432" customHeight="1">
      <x:c r="B815" s="93"/>
      <x:c r="C815" s="93"/>
      <x:c r="D815" s="93"/>
      <x:c r="E815" s="93"/>
      <x:c r="F815" s="93"/>
      <x:c r="G815" s="93"/>
      <x:c r="H815" s="93"/>
      <x:c r="I815" s="93"/>
      <x:c r="J815" s="93"/>
    </x:row>
    <x:row r="816" s="92" customFormat="1" ht="7.900000095367432" customHeight="1">
      <x:c r="B816" s="93"/>
      <x:c r="C816" s="93"/>
      <x:c r="D816" s="93"/>
      <x:c r="E816" s="93"/>
      <x:c r="F816" s="93"/>
      <x:c r="G816" s="93"/>
      <x:c r="H816" s="93"/>
      <x:c r="I816" s="93"/>
      <x:c r="J816" s="93"/>
    </x:row>
    <x:row r="817" s="92" customFormat="1" ht="7.900000095367432" customHeight="1">
      <x:c r="B817" s="93"/>
      <x:c r="C817" s="93"/>
      <x:c r="D817" s="93"/>
      <x:c r="E817" s="93"/>
      <x:c r="F817" s="93"/>
      <x:c r="G817" s="93"/>
      <x:c r="H817" s="93"/>
      <x:c r="I817" s="93"/>
      <x:c r="J817" s="93"/>
    </x:row>
    <x:row r="818" s="92" customFormat="1" ht="7.900000095367432" customHeight="1">
      <x:c r="B818" s="93"/>
      <x:c r="C818" s="93"/>
      <x:c r="D818" s="93"/>
      <x:c r="E818" s="93"/>
      <x:c r="F818" s="93"/>
      <x:c r="G818" s="93"/>
      <x:c r="H818" s="93"/>
      <x:c r="I818" s="93"/>
      <x:c r="J818" s="93"/>
    </x:row>
    <x:row r="819" s="92" customFormat="1" ht="7.900000095367432" customHeight="1">
      <x:c r="B819" s="93"/>
      <x:c r="C819" s="93"/>
      <x:c r="D819" s="93"/>
      <x:c r="E819" s="93"/>
      <x:c r="F819" s="93"/>
      <x:c r="G819" s="93"/>
      <x:c r="H819" s="93"/>
      <x:c r="I819" s="93"/>
      <x:c r="J819" s="93"/>
    </x:row>
    <x:row r="820" s="92" customFormat="1" ht="7.900000095367432" customHeight="1">
      <x:c r="B820" s="93"/>
      <x:c r="C820" s="93"/>
      <x:c r="D820" s="93"/>
      <x:c r="E820" s="93"/>
      <x:c r="F820" s="93"/>
      <x:c r="G820" s="93"/>
      <x:c r="H820" s="93"/>
      <x:c r="I820" s="93"/>
      <x:c r="J820" s="93"/>
    </x:row>
    <x:row r="821" s="92" customFormat="1" ht="7.900000095367432" customHeight="1">
      <x:c r="B821" s="93"/>
      <x:c r="C821" s="93"/>
      <x:c r="D821" s="93"/>
      <x:c r="E821" s="93"/>
      <x:c r="F821" s="93"/>
      <x:c r="G821" s="93"/>
      <x:c r="H821" s="93"/>
      <x:c r="I821" s="93"/>
      <x:c r="J821" s="93"/>
    </x:row>
    <x:row r="822" s="92" customFormat="1" ht="7.900000095367432" customHeight="1">
      <x:c r="B822" s="93"/>
      <x:c r="C822" s="93"/>
      <x:c r="D822" s="93"/>
      <x:c r="E822" s="93"/>
      <x:c r="F822" s="93"/>
      <x:c r="G822" s="93"/>
      <x:c r="H822" s="93"/>
      <x:c r="I822" s="93"/>
      <x:c r="J822" s="93"/>
    </x:row>
    <x:row r="823" s="92" customFormat="1" ht="7.900000095367432" customHeight="1">
      <x:c r="B823" s="93"/>
      <x:c r="C823" s="93"/>
      <x:c r="D823" s="93"/>
      <x:c r="E823" s="93"/>
      <x:c r="F823" s="93"/>
      <x:c r="G823" s="93"/>
      <x:c r="H823" s="93"/>
      <x:c r="I823" s="93"/>
      <x:c r="J823" s="93"/>
    </x:row>
    <x:row r="824" s="92" customFormat="1" ht="7.900000095367432" customHeight="1">
      <x:c r="B824" s="93"/>
      <x:c r="C824" s="93"/>
      <x:c r="D824" s="93"/>
      <x:c r="E824" s="93"/>
      <x:c r="F824" s="93"/>
      <x:c r="G824" s="93"/>
      <x:c r="H824" s="93"/>
      <x:c r="I824" s="93"/>
      <x:c r="J824" s="93"/>
    </x:row>
    <x:row r="825" s="92" customFormat="1" ht="7.900000095367432" customHeight="1">
      <x:c r="B825" s="93"/>
      <x:c r="C825" s="93"/>
      <x:c r="D825" s="93"/>
      <x:c r="E825" s="93"/>
      <x:c r="F825" s="93"/>
      <x:c r="G825" s="93"/>
      <x:c r="H825" s="93"/>
      <x:c r="I825" s="93"/>
      <x:c r="J825" s="93"/>
    </x:row>
    <x:row r="826" s="92" customFormat="1" ht="7.900000095367432" customHeight="1">
      <x:c r="B826" s="93"/>
      <x:c r="C826" s="93"/>
      <x:c r="D826" s="93"/>
      <x:c r="E826" s="93"/>
      <x:c r="F826" s="93"/>
      <x:c r="G826" s="93"/>
      <x:c r="H826" s="93"/>
      <x:c r="I826" s="93"/>
      <x:c r="J826" s="93"/>
    </x:row>
    <x:row r="827" s="92" customFormat="1" ht="7.900000095367432" customHeight="1">
      <x:c r="B827" s="93"/>
      <x:c r="C827" s="93"/>
      <x:c r="D827" s="93"/>
      <x:c r="E827" s="93"/>
      <x:c r="F827" s="93"/>
      <x:c r="G827" s="93"/>
      <x:c r="H827" s="93"/>
      <x:c r="I827" s="93"/>
      <x:c r="J827" s="93"/>
    </x:row>
    <x:row r="828" s="92" customFormat="1" ht="7.900000095367432" customHeight="1">
      <x:c r="B828" s="93"/>
      <x:c r="C828" s="93"/>
      <x:c r="D828" s="93"/>
      <x:c r="E828" s="93"/>
      <x:c r="F828" s="93"/>
      <x:c r="G828" s="93"/>
      <x:c r="H828" s="93"/>
      <x:c r="I828" s="93"/>
      <x:c r="J828" s="93"/>
    </x:row>
    <x:row r="829" s="92" customFormat="1" ht="7.900000095367432" customHeight="1">
      <x:c r="B829" s="93"/>
      <x:c r="C829" s="93"/>
      <x:c r="D829" s="93"/>
      <x:c r="E829" s="93"/>
      <x:c r="F829" s="93"/>
      <x:c r="G829" s="93"/>
      <x:c r="H829" s="93"/>
      <x:c r="I829" s="93"/>
      <x:c r="J829" s="93"/>
    </x:row>
    <x:row r="830" s="92" customFormat="1" ht="7.900000095367432" customHeight="1">
      <x:c r="B830" s="93"/>
      <x:c r="C830" s="93"/>
      <x:c r="D830" s="93"/>
      <x:c r="E830" s="93"/>
      <x:c r="F830" s="93"/>
      <x:c r="G830" s="93"/>
      <x:c r="H830" s="93"/>
      <x:c r="I830" s="93"/>
      <x:c r="J830" s="93"/>
    </x:row>
    <x:row r="831" s="92" customFormat="1" ht="7.900000095367432" customHeight="1">
      <x:c r="B831" s="93"/>
      <x:c r="C831" s="93"/>
      <x:c r="D831" s="93"/>
      <x:c r="E831" s="93"/>
      <x:c r="F831" s="93"/>
      <x:c r="G831" s="93"/>
      <x:c r="H831" s="93"/>
      <x:c r="I831" s="93"/>
      <x:c r="J831" s="93"/>
    </x:row>
    <x:row r="832" s="92" customFormat="1" ht="7.900000095367432" customHeight="1">
      <x:c r="B832" s="93"/>
      <x:c r="C832" s="93"/>
      <x:c r="D832" s="93"/>
      <x:c r="E832" s="93"/>
      <x:c r="F832" s="93"/>
      <x:c r="G832" s="93"/>
      <x:c r="H832" s="93"/>
      <x:c r="I832" s="93"/>
      <x:c r="J832" s="93"/>
    </x:row>
    <x:row r="833" s="92" customFormat="1" ht="7.900000095367432" customHeight="1">
      <x:c r="B833" s="93"/>
      <x:c r="C833" s="93"/>
      <x:c r="D833" s="93"/>
      <x:c r="E833" s="93"/>
      <x:c r="F833" s="93"/>
      <x:c r="G833" s="93"/>
      <x:c r="H833" s="93"/>
      <x:c r="I833" s="93"/>
      <x:c r="J833" s="93"/>
    </x:row>
    <x:row r="834" s="92" customFormat="1" ht="7.900000095367432" customHeight="1">
      <x:c r="B834" s="93"/>
      <x:c r="C834" s="93"/>
      <x:c r="D834" s="93"/>
      <x:c r="E834" s="93"/>
      <x:c r="F834" s="93"/>
      <x:c r="G834" s="93"/>
      <x:c r="H834" s="93"/>
      <x:c r="I834" s="93"/>
      <x:c r="J834" s="93"/>
    </x:row>
    <x:row r="835" s="92" customFormat="1" ht="7.900000095367432" customHeight="1">
      <x:c r="B835" s="93"/>
      <x:c r="C835" s="93"/>
      <x:c r="D835" s="93"/>
      <x:c r="E835" s="93"/>
      <x:c r="F835" s="93"/>
      <x:c r="G835" s="93"/>
      <x:c r="H835" s="93"/>
      <x:c r="I835" s="93"/>
      <x:c r="J835" s="93"/>
    </x:row>
    <x:row r="836" s="92" customFormat="1" ht="7.900000095367432" customHeight="1">
      <x:c r="B836" s="93"/>
      <x:c r="C836" s="93"/>
      <x:c r="D836" s="93"/>
      <x:c r="E836" s="93"/>
      <x:c r="F836" s="93"/>
      <x:c r="G836" s="93"/>
      <x:c r="H836" s="93"/>
      <x:c r="I836" s="93"/>
      <x:c r="J836" s="93"/>
    </x:row>
    <x:row r="837" s="92" customFormat="1" ht="7.900000095367432" customHeight="1">
      <x:c r="B837" s="93"/>
      <x:c r="C837" s="93"/>
      <x:c r="D837" s="93"/>
      <x:c r="E837" s="93"/>
      <x:c r="F837" s="93"/>
      <x:c r="G837" s="93"/>
      <x:c r="H837" s="93"/>
      <x:c r="I837" s="93"/>
      <x:c r="J837" s="93"/>
    </x:row>
    <x:row r="838" s="92" customFormat="1" ht="7.900000095367432" customHeight="1">
      <x:c r="B838" s="93"/>
      <x:c r="C838" s="93"/>
      <x:c r="D838" s="93"/>
      <x:c r="E838" s="93"/>
      <x:c r="F838" s="93"/>
      <x:c r="G838" s="93"/>
      <x:c r="H838" s="93"/>
      <x:c r="I838" s="93"/>
      <x:c r="J838" s="93"/>
    </x:row>
    <x:row r="839" s="92" customFormat="1" ht="7.900000095367432" customHeight="1">
      <x:c r="B839" s="93"/>
      <x:c r="C839" s="93"/>
      <x:c r="D839" s="93"/>
      <x:c r="E839" s="93"/>
      <x:c r="F839" s="93"/>
      <x:c r="G839" s="93"/>
      <x:c r="H839" s="93"/>
      <x:c r="I839" s="93"/>
      <x:c r="J839" s="93"/>
    </x:row>
    <x:row r="840" s="92" customFormat="1" ht="7.900000095367432" customHeight="1">
      <x:c r="B840" s="93"/>
      <x:c r="C840" s="93"/>
      <x:c r="D840" s="93"/>
      <x:c r="E840" s="93"/>
      <x:c r="F840" s="93"/>
      <x:c r="G840" s="93"/>
      <x:c r="H840" s="93"/>
      <x:c r="I840" s="93"/>
      <x:c r="J840" s="93"/>
    </x:row>
    <x:row r="841" s="92" customFormat="1" ht="7.900000095367432" customHeight="1">
      <x:c r="B841" s="93"/>
      <x:c r="C841" s="93"/>
      <x:c r="D841" s="93"/>
      <x:c r="E841" s="93"/>
      <x:c r="F841" s="93"/>
      <x:c r="G841" s="93"/>
      <x:c r="H841" s="93"/>
      <x:c r="I841" s="93"/>
      <x:c r="J841" s="93"/>
    </x:row>
    <x:row r="842" s="92" customFormat="1" ht="7.900000095367432" customHeight="1">
      <x:c r="B842" s="93"/>
      <x:c r="C842" s="93"/>
      <x:c r="D842" s="93"/>
      <x:c r="E842" s="93"/>
      <x:c r="F842" s="93"/>
      <x:c r="G842" s="93"/>
      <x:c r="H842" s="93"/>
      <x:c r="I842" s="93"/>
      <x:c r="J842" s="93"/>
    </x:row>
    <x:row r="843" s="92" customFormat="1" ht="7.900000095367432" customHeight="1">
      <x:c r="B843" s="93"/>
      <x:c r="C843" s="93"/>
      <x:c r="D843" s="93"/>
      <x:c r="E843" s="93"/>
      <x:c r="F843" s="93"/>
      <x:c r="G843" s="93"/>
      <x:c r="H843" s="93"/>
      <x:c r="I843" s="93"/>
      <x:c r="J843" s="93"/>
    </x:row>
    <x:row r="844" s="92" customFormat="1" ht="7.900000095367432" customHeight="1">
      <x:c r="B844" s="93"/>
      <x:c r="C844" s="93"/>
      <x:c r="D844" s="93"/>
      <x:c r="E844" s="93"/>
      <x:c r="F844" s="93"/>
      <x:c r="G844" s="93"/>
      <x:c r="H844" s="93"/>
      <x:c r="I844" s="93"/>
      <x:c r="J844" s="93"/>
    </x:row>
    <x:row r="845" s="92" customFormat="1" ht="7.900000095367432" customHeight="1">
      <x:c r="B845" s="93"/>
      <x:c r="C845" s="93"/>
      <x:c r="D845" s="93"/>
      <x:c r="E845" s="93"/>
      <x:c r="F845" s="93"/>
      <x:c r="G845" s="93"/>
      <x:c r="H845" s="93"/>
      <x:c r="I845" s="93"/>
      <x:c r="J845" s="93"/>
    </x:row>
    <x:row r="846" s="92" customFormat="1" ht="7.900000095367432" customHeight="1">
      <x:c r="B846" s="93"/>
      <x:c r="C846" s="93"/>
      <x:c r="D846" s="93"/>
      <x:c r="E846" s="93"/>
      <x:c r="F846" s="93"/>
      <x:c r="G846" s="93"/>
      <x:c r="H846" s="93"/>
      <x:c r="I846" s="93"/>
      <x:c r="J846" s="93"/>
    </x:row>
    <x:row r="847" s="92" customFormat="1" ht="7.900000095367432" customHeight="1">
      <x:c r="B847" s="93"/>
      <x:c r="C847" s="93"/>
      <x:c r="D847" s="93"/>
      <x:c r="E847" s="93"/>
      <x:c r="F847" s="93"/>
      <x:c r="G847" s="93"/>
      <x:c r="H847" s="93"/>
      <x:c r="I847" s="93"/>
      <x:c r="J847" s="93"/>
    </x:row>
    <x:row r="848" s="92" customFormat="1" ht="7.900000095367432" customHeight="1">
      <x:c r="B848" s="93"/>
      <x:c r="C848" s="93"/>
      <x:c r="D848" s="93"/>
      <x:c r="E848" s="93"/>
      <x:c r="F848" s="93"/>
      <x:c r="G848" s="93"/>
      <x:c r="H848" s="93"/>
      <x:c r="I848" s="93"/>
      <x:c r="J848" s="93"/>
    </x:row>
    <x:row r="849" s="92" customFormat="1" ht="7.900000095367432" customHeight="1">
      <x:c r="B849" s="93"/>
      <x:c r="C849" s="93"/>
      <x:c r="D849" s="93"/>
      <x:c r="E849" s="93"/>
      <x:c r="F849" s="93"/>
      <x:c r="G849" s="93"/>
      <x:c r="H849" s="93"/>
      <x:c r="I849" s="93"/>
      <x:c r="J849" s="93"/>
    </x:row>
    <x:row r="850" s="92" customFormat="1" ht="7.900000095367432" customHeight="1">
      <x:c r="B850" s="93"/>
      <x:c r="C850" s="93"/>
      <x:c r="D850" s="93"/>
      <x:c r="E850" s="93"/>
      <x:c r="F850" s="93"/>
      <x:c r="G850" s="93"/>
      <x:c r="H850" s="93"/>
      <x:c r="I850" s="93"/>
      <x:c r="J850" s="93"/>
    </x:row>
    <x:row r="851" s="92" customFormat="1" ht="7.900000095367432" customHeight="1">
      <x:c r="B851" s="93"/>
      <x:c r="C851" s="93"/>
      <x:c r="D851" s="93"/>
      <x:c r="E851" s="93"/>
      <x:c r="F851" s="93"/>
      <x:c r="G851" s="93"/>
      <x:c r="H851" s="93"/>
      <x:c r="I851" s="93"/>
      <x:c r="J851" s="93"/>
    </x:row>
    <x:row r="852" s="92" customFormat="1" ht="7.900000095367432" customHeight="1">
      <x:c r="B852" s="93"/>
      <x:c r="C852" s="93"/>
      <x:c r="D852" s="93"/>
      <x:c r="E852" s="93"/>
      <x:c r="F852" s="93"/>
      <x:c r="G852" s="93"/>
      <x:c r="H852" s="93"/>
      <x:c r="I852" s="93"/>
      <x:c r="J852" s="93"/>
    </x:row>
    <x:row r="853" s="92" customFormat="1" ht="7.900000095367432" customHeight="1">
      <x:c r="B853" s="93"/>
      <x:c r="C853" s="93"/>
      <x:c r="D853" s="93"/>
      <x:c r="E853" s="93"/>
      <x:c r="F853" s="93"/>
      <x:c r="G853" s="93"/>
      <x:c r="H853" s="93"/>
      <x:c r="I853" s="93"/>
      <x:c r="J853" s="93"/>
    </x:row>
    <x:row r="854" s="92" customFormat="1" ht="7.900000095367432" customHeight="1">
      <x:c r="B854" s="93"/>
      <x:c r="C854" s="93"/>
      <x:c r="D854" s="93"/>
      <x:c r="E854" s="93"/>
      <x:c r="F854" s="93"/>
      <x:c r="G854" s="93"/>
      <x:c r="H854" s="93"/>
      <x:c r="I854" s="93"/>
      <x:c r="J854" s="93"/>
    </x:row>
    <x:row r="855" s="92" customFormat="1" ht="7.900000095367432" customHeight="1">
      <x:c r="B855" s="93"/>
      <x:c r="C855" s="93"/>
      <x:c r="D855" s="93"/>
      <x:c r="E855" s="93"/>
      <x:c r="F855" s="93"/>
      <x:c r="G855" s="93"/>
      <x:c r="H855" s="93"/>
      <x:c r="I855" s="93"/>
      <x:c r="J855" s="93"/>
    </x:row>
    <x:row r="856" s="92" customFormat="1" ht="7.900000095367432" customHeight="1">
      <x:c r="B856" s="93"/>
      <x:c r="C856" s="93"/>
      <x:c r="D856" s="93"/>
      <x:c r="E856" s="93"/>
      <x:c r="F856" s="93"/>
      <x:c r="G856" s="93"/>
      <x:c r="H856" s="93"/>
      <x:c r="I856" s="93"/>
      <x:c r="J856" s="93"/>
    </x:row>
    <x:row r="857" s="92" customFormat="1" ht="7.900000095367432" customHeight="1">
      <x:c r="B857" s="93"/>
      <x:c r="C857" s="93"/>
      <x:c r="D857" s="93"/>
      <x:c r="E857" s="93"/>
      <x:c r="F857" s="93"/>
      <x:c r="G857" s="93"/>
      <x:c r="H857" s="93"/>
      <x:c r="I857" s="93"/>
      <x:c r="J857" s="93"/>
    </x:row>
    <x:row r="858" s="92" customFormat="1" ht="7.900000095367432" customHeight="1">
      <x:c r="B858" s="93"/>
      <x:c r="C858" s="93"/>
      <x:c r="D858" s="93"/>
      <x:c r="E858" s="93"/>
      <x:c r="F858" s="93"/>
      <x:c r="G858" s="93"/>
      <x:c r="H858" s="93"/>
      <x:c r="I858" s="93"/>
      <x:c r="J858" s="93"/>
    </x:row>
    <x:row r="859" s="92" customFormat="1" ht="7.900000095367432" customHeight="1">
      <x:c r="B859" s="93"/>
      <x:c r="C859" s="93"/>
      <x:c r="D859" s="93"/>
      <x:c r="E859" s="93"/>
      <x:c r="F859" s="93"/>
      <x:c r="G859" s="93"/>
      <x:c r="H859" s="93"/>
      <x:c r="I859" s="93"/>
      <x:c r="J859" s="93"/>
    </x:row>
    <x:row r="860" s="92" customFormat="1" ht="7.900000095367432" customHeight="1">
      <x:c r="B860" s="93"/>
      <x:c r="C860" s="93"/>
      <x:c r="D860" s="93"/>
      <x:c r="E860" s="93"/>
      <x:c r="F860" s="93"/>
      <x:c r="G860" s="93"/>
      <x:c r="H860" s="93"/>
      <x:c r="I860" s="93"/>
      <x:c r="J860" s="93"/>
    </x:row>
    <x:row r="861" s="92" customFormat="1" ht="7.900000095367432" customHeight="1">
      <x:c r="B861" s="93"/>
      <x:c r="C861" s="93"/>
      <x:c r="D861" s="93"/>
      <x:c r="E861" s="93"/>
      <x:c r="F861" s="93"/>
      <x:c r="G861" s="93"/>
      <x:c r="H861" s="93"/>
      <x:c r="I861" s="93"/>
      <x:c r="J861" s="93"/>
    </x:row>
    <x:row r="862" s="92" customFormat="1" ht="7.900000095367432" customHeight="1">
      <x:c r="B862" s="93"/>
      <x:c r="C862" s="93"/>
      <x:c r="D862" s="93"/>
      <x:c r="E862" s="93"/>
      <x:c r="F862" s="93"/>
      <x:c r="G862" s="93"/>
      <x:c r="H862" s="93"/>
      <x:c r="I862" s="93"/>
      <x:c r="J862" s="93"/>
    </x:row>
    <x:row r="863" s="92" customFormat="1" ht="7.900000095367432" customHeight="1">
      <x:c r="B863" s="93"/>
      <x:c r="C863" s="93"/>
      <x:c r="D863" s="93"/>
      <x:c r="E863" s="93"/>
      <x:c r="F863" s="93"/>
      <x:c r="G863" s="93"/>
      <x:c r="H863" s="93"/>
      <x:c r="I863" s="93"/>
      <x:c r="J863" s="93"/>
    </x:row>
    <x:row r="864" s="92" customFormat="1" ht="7.900000095367432" customHeight="1">
      <x:c r="B864" s="93"/>
      <x:c r="C864" s="93"/>
      <x:c r="D864" s="93"/>
      <x:c r="E864" s="93"/>
      <x:c r="F864" s="93"/>
      <x:c r="G864" s="93"/>
      <x:c r="H864" s="93"/>
      <x:c r="I864" s="93"/>
      <x:c r="J864" s="93"/>
    </x:row>
    <x:row r="865" s="92" customFormat="1" ht="7.900000095367432" customHeight="1">
      <x:c r="B865" s="93"/>
      <x:c r="C865" s="93"/>
      <x:c r="D865" s="93"/>
      <x:c r="E865" s="93"/>
      <x:c r="F865" s="93"/>
      <x:c r="G865" s="93"/>
      <x:c r="H865" s="93"/>
      <x:c r="I865" s="93"/>
      <x:c r="J865" s="93"/>
    </x:row>
    <x:row r="866" s="92" customFormat="1" ht="7.900000095367432" customHeight="1">
      <x:c r="B866" s="93"/>
      <x:c r="C866" s="93"/>
      <x:c r="D866" s="93"/>
      <x:c r="E866" s="93"/>
      <x:c r="F866" s="93"/>
      <x:c r="G866" s="93"/>
      <x:c r="H866" s="93"/>
      <x:c r="I866" s="93"/>
      <x:c r="J866" s="93"/>
    </x:row>
    <x:row r="867" s="92" customFormat="1" ht="7.900000095367432" customHeight="1">
      <x:c r="B867" s="93"/>
      <x:c r="C867" s="93"/>
      <x:c r="D867" s="93"/>
      <x:c r="E867" s="93"/>
      <x:c r="F867" s="93"/>
      <x:c r="G867" s="93"/>
      <x:c r="H867" s="93"/>
      <x:c r="I867" s="93"/>
      <x:c r="J867" s="93"/>
    </x:row>
    <x:row r="868" s="92" customFormat="1" ht="7.900000095367432" customHeight="1">
      <x:c r="B868" s="93"/>
      <x:c r="C868" s="93"/>
      <x:c r="D868" s="93"/>
      <x:c r="E868" s="93"/>
      <x:c r="F868" s="93"/>
      <x:c r="G868" s="93"/>
      <x:c r="H868" s="93"/>
      <x:c r="I868" s="93"/>
      <x:c r="J868" s="93"/>
    </x:row>
    <x:row r="869" s="92" customFormat="1" ht="7.900000095367432" customHeight="1">
      <x:c r="B869" s="93"/>
      <x:c r="C869" s="93"/>
      <x:c r="D869" s="93"/>
      <x:c r="E869" s="93"/>
      <x:c r="F869" s="93"/>
      <x:c r="G869" s="93"/>
      <x:c r="H869" s="93"/>
      <x:c r="I869" s="93"/>
      <x:c r="J869" s="93"/>
    </x:row>
    <x:row r="870" s="92" customFormat="1" ht="7.900000095367432" customHeight="1">
      <x:c r="B870" s="93"/>
      <x:c r="C870" s="93"/>
      <x:c r="D870" s="93"/>
      <x:c r="E870" s="93"/>
      <x:c r="F870" s="93"/>
      <x:c r="G870" s="93"/>
      <x:c r="H870" s="93"/>
      <x:c r="I870" s="93"/>
      <x:c r="J870" s="93"/>
    </x:row>
    <x:row r="871" s="92" customFormat="1" ht="7.900000095367432" customHeight="1">
      <x:c r="B871" s="93"/>
      <x:c r="C871" s="93"/>
      <x:c r="D871" s="93"/>
      <x:c r="E871" s="93"/>
      <x:c r="F871" s="93"/>
      <x:c r="G871" s="93"/>
      <x:c r="H871" s="93"/>
      <x:c r="I871" s="93"/>
      <x:c r="J871" s="93"/>
    </x:row>
    <x:row r="872" s="92" customFormat="1" ht="7.900000095367432" customHeight="1">
      <x:c r="B872" s="93"/>
      <x:c r="C872" s="93"/>
      <x:c r="D872" s="93"/>
      <x:c r="E872" s="93"/>
      <x:c r="F872" s="93"/>
      <x:c r="G872" s="93"/>
      <x:c r="H872" s="93"/>
      <x:c r="I872" s="93"/>
      <x:c r="J872" s="93"/>
    </x:row>
    <x:row r="873" s="92" customFormat="1" ht="7.900000095367432" customHeight="1">
      <x:c r="B873" s="93"/>
      <x:c r="C873" s="93"/>
      <x:c r="D873" s="93"/>
      <x:c r="E873" s="93"/>
      <x:c r="F873" s="93"/>
      <x:c r="G873" s="93"/>
      <x:c r="H873" s="93"/>
      <x:c r="I873" s="93"/>
      <x:c r="J873" s="93"/>
    </x:row>
    <x:row r="874" s="92" customFormat="1" ht="7.900000095367432" customHeight="1">
      <x:c r="B874" s="93"/>
      <x:c r="C874" s="93"/>
      <x:c r="D874" s="93"/>
      <x:c r="E874" s="93"/>
      <x:c r="F874" s="93"/>
      <x:c r="G874" s="93"/>
      <x:c r="H874" s="93"/>
      <x:c r="I874" s="93"/>
      <x:c r="J874" s="93"/>
    </x:row>
    <x:row r="875" s="92" customFormat="1" ht="7.900000095367432" customHeight="1">
      <x:c r="B875" s="93"/>
      <x:c r="C875" s="93"/>
      <x:c r="D875" s="93"/>
      <x:c r="E875" s="93"/>
      <x:c r="F875" s="93"/>
      <x:c r="G875" s="93"/>
      <x:c r="H875" s="93"/>
      <x:c r="I875" s="93"/>
      <x:c r="J875" s="93"/>
    </x:row>
    <x:row r="876" s="92" customFormat="1" ht="7.900000095367432" customHeight="1">
      <x:c r="B876" s="93"/>
      <x:c r="C876" s="93"/>
      <x:c r="D876" s="93"/>
      <x:c r="E876" s="93"/>
      <x:c r="F876" s="93"/>
      <x:c r="G876" s="93"/>
      <x:c r="H876" s="93"/>
      <x:c r="I876" s="93"/>
      <x:c r="J876" s="93"/>
    </x:row>
    <x:row r="877" s="92" customFormat="1" ht="7.900000095367432" customHeight="1">
      <x:c r="B877" s="93"/>
      <x:c r="C877" s="93"/>
      <x:c r="D877" s="93"/>
      <x:c r="E877" s="93"/>
      <x:c r="F877" s="93"/>
      <x:c r="G877" s="93"/>
      <x:c r="H877" s="93"/>
      <x:c r="I877" s="93"/>
      <x:c r="J877" s="93"/>
    </x:row>
    <x:row r="878" s="92" customFormat="1" ht="7.900000095367432" customHeight="1">
      <x:c r="B878" s="93"/>
      <x:c r="C878" s="93"/>
      <x:c r="D878" s="93"/>
      <x:c r="E878" s="93"/>
      <x:c r="F878" s="93"/>
      <x:c r="G878" s="93"/>
      <x:c r="H878" s="93"/>
      <x:c r="I878" s="93"/>
      <x:c r="J878" s="93"/>
    </x:row>
    <x:row r="879" s="92" customFormat="1" ht="7.900000095367432" customHeight="1">
      <x:c r="B879" s="93"/>
      <x:c r="C879" s="93"/>
      <x:c r="D879" s="93"/>
      <x:c r="E879" s="93"/>
      <x:c r="F879" s="93"/>
      <x:c r="G879" s="93"/>
      <x:c r="H879" s="93"/>
      <x:c r="I879" s="93"/>
      <x:c r="J879" s="93"/>
    </x:row>
    <x:row r="880" s="92" customFormat="1" ht="7.900000095367432" customHeight="1">
      <x:c r="B880" s="93"/>
      <x:c r="C880" s="93"/>
      <x:c r="D880" s="93"/>
      <x:c r="E880" s="93"/>
      <x:c r="F880" s="93"/>
      <x:c r="G880" s="93"/>
      <x:c r="H880" s="93"/>
      <x:c r="I880" s="93"/>
      <x:c r="J880" s="93"/>
    </x:row>
    <x:row r="881" s="92" customFormat="1" ht="7.900000095367432" customHeight="1">
      <x:c r="B881" s="93"/>
      <x:c r="C881" s="93"/>
      <x:c r="D881" s="93"/>
      <x:c r="E881" s="93"/>
      <x:c r="F881" s="93"/>
      <x:c r="G881" s="93"/>
      <x:c r="H881" s="93"/>
      <x:c r="I881" s="93"/>
      <x:c r="J881" s="93"/>
    </x:row>
    <x:row r="882" s="92" customFormat="1" ht="7.900000095367432" customHeight="1">
      <x:c r="B882" s="93"/>
      <x:c r="C882" s="93"/>
      <x:c r="D882" s="93"/>
      <x:c r="E882" s="93"/>
      <x:c r="F882" s="93"/>
      <x:c r="G882" s="93"/>
      <x:c r="H882" s="93"/>
      <x:c r="I882" s="93"/>
      <x:c r="J882" s="93"/>
    </x:row>
    <x:row r="883" s="92" customFormat="1" ht="7.900000095367432" customHeight="1">
      <x:c r="B883" s="93"/>
      <x:c r="C883" s="93"/>
      <x:c r="D883" s="93"/>
      <x:c r="E883" s="93"/>
      <x:c r="F883" s="93"/>
      <x:c r="G883" s="93"/>
      <x:c r="H883" s="93"/>
      <x:c r="I883" s="93"/>
      <x:c r="J883" s="93"/>
    </x:row>
    <x:row r="884" s="92" customFormat="1" ht="7.900000095367432" customHeight="1">
      <x:c r="B884" s="93"/>
      <x:c r="C884" s="93"/>
      <x:c r="D884" s="93"/>
      <x:c r="E884" s="93"/>
      <x:c r="F884" s="93"/>
      <x:c r="G884" s="93"/>
      <x:c r="H884" s="93"/>
      <x:c r="I884" s="93"/>
      <x:c r="J884" s="93"/>
    </x:row>
    <x:row r="885" s="92" customFormat="1" ht="7.900000095367432" customHeight="1">
      <x:c r="B885" s="93"/>
      <x:c r="C885" s="93"/>
      <x:c r="D885" s="93"/>
      <x:c r="E885" s="93"/>
      <x:c r="F885" s="93"/>
      <x:c r="G885" s="93"/>
      <x:c r="H885" s="93"/>
      <x:c r="I885" s="93"/>
      <x:c r="J885" s="93"/>
    </x:row>
    <x:row r="886" s="92" customFormat="1" ht="7.900000095367432" customHeight="1">
      <x:c r="B886" s="93"/>
      <x:c r="C886" s="93"/>
      <x:c r="D886" s="93"/>
      <x:c r="E886" s="93"/>
      <x:c r="F886" s="93"/>
      <x:c r="G886" s="93"/>
      <x:c r="H886" s="93"/>
      <x:c r="I886" s="93"/>
      <x:c r="J886" s="93"/>
    </x:row>
    <x:row r="887" s="92" customFormat="1" ht="7.900000095367432" customHeight="1">
      <x:c r="B887" s="93"/>
      <x:c r="C887" s="93"/>
      <x:c r="D887" s="93"/>
      <x:c r="E887" s="93"/>
      <x:c r="F887" s="93"/>
      <x:c r="G887" s="93"/>
      <x:c r="H887" s="93"/>
      <x:c r="I887" s="93"/>
      <x:c r="J887" s="93"/>
    </x:row>
    <x:row r="888" s="92" customFormat="1" ht="7.900000095367432" customHeight="1">
      <x:c r="B888" s="93"/>
      <x:c r="C888" s="93"/>
      <x:c r="D888" s="93"/>
      <x:c r="E888" s="93"/>
      <x:c r="F888" s="93"/>
      <x:c r="G888" s="93"/>
      <x:c r="H888" s="93"/>
      <x:c r="I888" s="93"/>
      <x:c r="J888" s="93"/>
    </x:row>
    <x:row r="889" s="92" customFormat="1" ht="7.900000095367432" customHeight="1">
      <x:c r="B889" s="93"/>
      <x:c r="C889" s="93"/>
      <x:c r="D889" s="93"/>
      <x:c r="E889" s="93"/>
      <x:c r="F889" s="93"/>
      <x:c r="G889" s="93"/>
      <x:c r="H889" s="93"/>
      <x:c r="I889" s="93"/>
      <x:c r="J889" s="93"/>
    </x:row>
    <x:row r="890" s="92" customFormat="1" ht="7.900000095367432" customHeight="1">
      <x:c r="B890" s="93"/>
      <x:c r="C890" s="93"/>
      <x:c r="D890" s="93"/>
      <x:c r="E890" s="93"/>
      <x:c r="F890" s="93"/>
      <x:c r="G890" s="93"/>
      <x:c r="H890" s="93"/>
      <x:c r="I890" s="93"/>
      <x:c r="J890" s="93"/>
    </x:row>
    <x:row r="891" s="92" customFormat="1" ht="7.900000095367432" customHeight="1">
      <x:c r="B891" s="93"/>
      <x:c r="C891" s="93"/>
      <x:c r="D891" s="93"/>
      <x:c r="E891" s="93"/>
      <x:c r="F891" s="93"/>
      <x:c r="G891" s="93"/>
      <x:c r="H891" s="93"/>
      <x:c r="I891" s="93"/>
      <x:c r="J891" s="93"/>
    </x:row>
    <x:row r="892" s="92" customFormat="1" ht="7.900000095367432" customHeight="1">
      <x:c r="B892" s="93"/>
      <x:c r="C892" s="93"/>
      <x:c r="D892" s="93"/>
      <x:c r="E892" s="93"/>
      <x:c r="F892" s="93"/>
      <x:c r="G892" s="93"/>
      <x:c r="H892" s="93"/>
      <x:c r="I892" s="93"/>
      <x:c r="J892" s="93"/>
    </x:row>
    <x:row r="893" s="92" customFormat="1" ht="7.900000095367432" customHeight="1">
      <x:c r="B893" s="93"/>
      <x:c r="C893" s="93"/>
      <x:c r="D893" s="93"/>
      <x:c r="E893" s="93"/>
      <x:c r="F893" s="93"/>
      <x:c r="G893" s="93"/>
      <x:c r="H893" s="93"/>
      <x:c r="I893" s="93"/>
      <x:c r="J893" s="93"/>
    </x:row>
    <x:row r="894" s="92" customFormat="1" ht="7.900000095367432" customHeight="1">
      <x:c r="B894" s="93"/>
      <x:c r="C894" s="93"/>
      <x:c r="D894" s="93"/>
      <x:c r="E894" s="93"/>
      <x:c r="F894" s="93"/>
      <x:c r="G894" s="93"/>
      <x:c r="H894" s="93"/>
      <x:c r="I894" s="93"/>
      <x:c r="J894" s="93"/>
    </x:row>
    <x:row r="895" s="92" customFormat="1" ht="7.900000095367432" customHeight="1">
      <x:c r="B895" s="93"/>
      <x:c r="C895" s="93"/>
      <x:c r="D895" s="93"/>
      <x:c r="E895" s="93"/>
      <x:c r="F895" s="93"/>
      <x:c r="G895" s="93"/>
      <x:c r="H895" s="93"/>
      <x:c r="I895" s="93"/>
      <x:c r="J895" s="93"/>
    </x:row>
    <x:row r="896" s="92" customFormat="1" ht="7.900000095367432" customHeight="1">
      <x:c r="B896" s="93"/>
      <x:c r="C896" s="93"/>
      <x:c r="D896" s="93"/>
      <x:c r="E896" s="93"/>
      <x:c r="F896" s="93"/>
      <x:c r="G896" s="93"/>
      <x:c r="H896" s="93"/>
      <x:c r="I896" s="93"/>
      <x:c r="J896" s="93"/>
    </x:row>
    <x:row r="897" s="92" customFormat="1" ht="7.900000095367432" customHeight="1">
      <x:c r="B897" s="93"/>
      <x:c r="C897" s="93"/>
      <x:c r="D897" s="93"/>
      <x:c r="E897" s="93"/>
      <x:c r="F897" s="93"/>
      <x:c r="G897" s="93"/>
      <x:c r="H897" s="93"/>
      <x:c r="I897" s="93"/>
      <x:c r="J897" s="93"/>
    </x:row>
    <x:row r="898" s="92" customFormat="1" ht="7.900000095367432" customHeight="1">
      <x:c r="B898" s="93"/>
      <x:c r="C898" s="93"/>
      <x:c r="D898" s="93"/>
      <x:c r="E898" s="93"/>
      <x:c r="F898" s="93"/>
      <x:c r="G898" s="93"/>
      <x:c r="H898" s="93"/>
      <x:c r="I898" s="93"/>
      <x:c r="J898" s="93"/>
    </x:row>
    <x:row r="899" s="92" customFormat="1" ht="7.900000095367432" customHeight="1">
      <x:c r="B899" s="93"/>
      <x:c r="C899" s="93"/>
      <x:c r="D899" s="93"/>
      <x:c r="E899" s="93"/>
      <x:c r="F899" s="93"/>
      <x:c r="G899" s="93"/>
      <x:c r="H899" s="93"/>
      <x:c r="I899" s="93"/>
      <x:c r="J899" s="93"/>
    </x:row>
    <x:row r="900" s="92" customFormat="1" ht="7.900000095367432" customHeight="1">
      <x:c r="B900" s="93"/>
      <x:c r="C900" s="93"/>
      <x:c r="D900" s="93"/>
      <x:c r="E900" s="93"/>
      <x:c r="F900" s="93"/>
      <x:c r="G900" s="93"/>
      <x:c r="H900" s="93"/>
      <x:c r="I900" s="93"/>
      <x:c r="J900" s="93"/>
    </x:row>
    <x:row r="901" s="92" customFormat="1" ht="7.900000095367432" customHeight="1">
      <x:c r="B901" s="93"/>
      <x:c r="C901" s="93"/>
      <x:c r="D901" s="93"/>
      <x:c r="E901" s="93"/>
      <x:c r="F901" s="93"/>
      <x:c r="G901" s="93"/>
      <x:c r="H901" s="93"/>
      <x:c r="I901" s="93"/>
      <x:c r="J901" s="93"/>
    </x:row>
    <x:row r="902" s="92" customFormat="1" ht="7.900000095367432" customHeight="1">
      <x:c r="B902" s="93"/>
      <x:c r="C902" s="93"/>
      <x:c r="D902" s="93"/>
      <x:c r="E902" s="93"/>
      <x:c r="F902" s="93"/>
      <x:c r="G902" s="93"/>
      <x:c r="H902" s="93"/>
      <x:c r="I902" s="93"/>
      <x:c r="J902" s="93"/>
    </x:row>
    <x:row r="903" s="92" customFormat="1" ht="7.900000095367432" customHeight="1">
      <x:c r="B903" s="93"/>
      <x:c r="C903" s="93"/>
      <x:c r="D903" s="93"/>
      <x:c r="E903" s="93"/>
      <x:c r="F903" s="93"/>
      <x:c r="G903" s="93"/>
      <x:c r="H903" s="93"/>
      <x:c r="I903" s="93"/>
      <x:c r="J903" s="93"/>
    </x:row>
    <x:row r="904" s="92" customFormat="1" ht="7.900000095367432" customHeight="1">
      <x:c r="B904" s="93"/>
      <x:c r="C904" s="93"/>
      <x:c r="D904" s="93"/>
      <x:c r="E904" s="93"/>
      <x:c r="F904" s="93"/>
      <x:c r="G904" s="93"/>
      <x:c r="H904" s="93"/>
      <x:c r="I904" s="93"/>
      <x:c r="J904" s="93"/>
    </x:row>
    <x:row r="905" s="92" customFormat="1" ht="7.900000095367432" customHeight="1">
      <x:c r="B905" s="93"/>
      <x:c r="C905" s="93"/>
      <x:c r="D905" s="93"/>
      <x:c r="E905" s="93"/>
      <x:c r="F905" s="93"/>
      <x:c r="G905" s="93"/>
      <x:c r="H905" s="93"/>
      <x:c r="I905" s="93"/>
      <x:c r="J905" s="93"/>
    </x:row>
    <x:row r="906" s="92" customFormat="1" ht="7.900000095367432" customHeight="1">
      <x:c r="B906" s="93"/>
      <x:c r="C906" s="93"/>
      <x:c r="D906" s="93"/>
      <x:c r="E906" s="93"/>
      <x:c r="F906" s="93"/>
      <x:c r="G906" s="93"/>
      <x:c r="H906" s="93"/>
      <x:c r="I906" s="93"/>
      <x:c r="J906" s="93"/>
    </x:row>
    <x:row r="907" s="92" customFormat="1" ht="7.900000095367432" customHeight="1">
      <x:c r="B907" s="93"/>
      <x:c r="C907" s="93"/>
      <x:c r="D907" s="93"/>
      <x:c r="E907" s="93"/>
      <x:c r="F907" s="93"/>
      <x:c r="G907" s="93"/>
      <x:c r="H907" s="93"/>
      <x:c r="I907" s="93"/>
      <x:c r="J907" s="93"/>
    </x:row>
    <x:row r="908" s="92" customFormat="1" ht="7.900000095367432" customHeight="1">
      <x:c r="B908" s="93"/>
      <x:c r="C908" s="93"/>
      <x:c r="D908" s="93"/>
      <x:c r="E908" s="93"/>
      <x:c r="F908" s="93"/>
      <x:c r="G908" s="93"/>
      <x:c r="H908" s="93"/>
      <x:c r="I908" s="93"/>
      <x:c r="J908" s="93"/>
    </x:row>
    <x:row r="909" s="92" customFormat="1" ht="7.900000095367432" customHeight="1">
      <x:c r="B909" s="93"/>
      <x:c r="C909" s="93"/>
      <x:c r="D909" s="93"/>
      <x:c r="E909" s="93"/>
      <x:c r="F909" s="93"/>
      <x:c r="G909" s="93"/>
      <x:c r="H909" s="93"/>
      <x:c r="I909" s="93"/>
      <x:c r="J909" s="93"/>
    </x:row>
    <x:row r="910" s="92" customFormat="1" ht="7.900000095367432" customHeight="1">
      <x:c r="B910" s="93"/>
      <x:c r="C910" s="93"/>
      <x:c r="D910" s="93"/>
      <x:c r="E910" s="93"/>
      <x:c r="F910" s="93"/>
      <x:c r="G910" s="93"/>
      <x:c r="H910" s="93"/>
      <x:c r="I910" s="93"/>
      <x:c r="J910" s="93"/>
    </x:row>
    <x:row r="911" s="92" customFormat="1" ht="7.900000095367432" customHeight="1">
      <x:c r="B911" s="93"/>
      <x:c r="C911" s="93"/>
      <x:c r="D911" s="93"/>
      <x:c r="E911" s="93"/>
      <x:c r="F911" s="93"/>
      <x:c r="G911" s="93"/>
      <x:c r="H911" s="93"/>
      <x:c r="I911" s="93"/>
      <x:c r="J911" s="93"/>
    </x:row>
    <x:row r="912" s="92" customFormat="1" ht="7.900000095367432" customHeight="1">
      <x:c r="B912" s="93"/>
      <x:c r="C912" s="93"/>
      <x:c r="D912" s="93"/>
      <x:c r="E912" s="93"/>
      <x:c r="F912" s="93"/>
      <x:c r="G912" s="93"/>
      <x:c r="H912" s="93"/>
      <x:c r="I912" s="93"/>
      <x:c r="J912" s="93"/>
    </x:row>
    <x:row r="913" s="92" customFormat="1" ht="7.900000095367432" customHeight="1">
      <x:c r="B913" s="93"/>
      <x:c r="C913" s="93"/>
      <x:c r="D913" s="93"/>
      <x:c r="E913" s="93"/>
      <x:c r="F913" s="93"/>
      <x:c r="G913" s="93"/>
      <x:c r="H913" s="93"/>
      <x:c r="I913" s="93"/>
      <x:c r="J913" s="93"/>
    </x:row>
    <x:row r="914" s="92" customFormat="1" ht="7.900000095367432" customHeight="1">
      <x:c r="B914" s="93"/>
      <x:c r="C914" s="93"/>
      <x:c r="D914" s="93"/>
      <x:c r="E914" s="93"/>
      <x:c r="F914" s="93"/>
      <x:c r="G914" s="93"/>
      <x:c r="H914" s="93"/>
      <x:c r="I914" s="93"/>
      <x:c r="J914" s="93"/>
    </x:row>
    <x:row r="915" s="92" customFormat="1" ht="7.900000095367432" customHeight="1">
      <x:c r="B915" s="93"/>
      <x:c r="C915" s="93"/>
      <x:c r="D915" s="93"/>
      <x:c r="E915" s="93"/>
      <x:c r="F915" s="93"/>
      <x:c r="G915" s="93"/>
      <x:c r="H915" s="93"/>
      <x:c r="I915" s="93"/>
      <x:c r="J915" s="93"/>
    </x:row>
    <x:row r="916" s="92" customFormat="1" ht="7.900000095367432" customHeight="1">
      <x:c r="B916" s="93"/>
      <x:c r="C916" s="93"/>
      <x:c r="D916" s="93"/>
      <x:c r="E916" s="93"/>
      <x:c r="F916" s="93"/>
      <x:c r="G916" s="93"/>
      <x:c r="H916" s="93"/>
      <x:c r="I916" s="93"/>
      <x:c r="J916" s="93"/>
    </x:row>
    <x:row r="917" s="92" customFormat="1" ht="7.900000095367432" customHeight="1">
      <x:c r="B917" s="93"/>
      <x:c r="C917" s="93"/>
      <x:c r="D917" s="93"/>
      <x:c r="E917" s="93"/>
      <x:c r="F917" s="93"/>
      <x:c r="G917" s="93"/>
      <x:c r="H917" s="93"/>
      <x:c r="I917" s="93"/>
      <x:c r="J917" s="93"/>
    </x:row>
    <x:row r="918" s="92" customFormat="1" ht="7.900000095367432" customHeight="1">
      <x:c r="B918" s="93"/>
      <x:c r="C918" s="93"/>
      <x:c r="D918" s="93"/>
      <x:c r="E918" s="93"/>
      <x:c r="F918" s="93"/>
      <x:c r="G918" s="93"/>
      <x:c r="H918" s="93"/>
      <x:c r="I918" s="93"/>
      <x:c r="J918" s="93"/>
    </x:row>
    <x:row r="919" s="92" customFormat="1" ht="7.900000095367432" customHeight="1">
      <x:c r="B919" s="93"/>
      <x:c r="C919" s="93"/>
      <x:c r="D919" s="93"/>
      <x:c r="E919" s="93"/>
      <x:c r="F919" s="93"/>
      <x:c r="G919" s="93"/>
      <x:c r="H919" s="93"/>
      <x:c r="I919" s="93"/>
      <x:c r="J919" s="93"/>
    </x:row>
    <x:row r="920" s="92" customFormat="1" ht="7.900000095367432" customHeight="1">
      <x:c r="B920" s="93"/>
      <x:c r="C920" s="93"/>
      <x:c r="D920" s="93"/>
      <x:c r="E920" s="93"/>
      <x:c r="F920" s="93"/>
      <x:c r="G920" s="93"/>
      <x:c r="H920" s="93"/>
      <x:c r="I920" s="93"/>
      <x:c r="J920" s="93"/>
    </x:row>
    <x:row r="921" s="92" customFormat="1" ht="7.900000095367432" customHeight="1">
      <x:c r="B921" s="93"/>
      <x:c r="C921" s="93"/>
      <x:c r="D921" s="93"/>
      <x:c r="E921" s="93"/>
      <x:c r="F921" s="93"/>
      <x:c r="G921" s="93"/>
      <x:c r="H921" s="93"/>
      <x:c r="I921" s="93"/>
      <x:c r="J921" s="93"/>
    </x:row>
    <x:row r="922" s="92" customFormat="1" ht="7.900000095367432" customHeight="1">
      <x:c r="B922" s="93"/>
      <x:c r="C922" s="93"/>
      <x:c r="D922" s="93"/>
      <x:c r="E922" s="93"/>
      <x:c r="F922" s="93"/>
      <x:c r="G922" s="93"/>
      <x:c r="H922" s="93"/>
      <x:c r="I922" s="93"/>
      <x:c r="J922" s="93"/>
    </x:row>
    <x:row r="923" s="92" customFormat="1" ht="7.900000095367432" customHeight="1">
      <x:c r="B923" s="93"/>
      <x:c r="C923" s="93"/>
      <x:c r="D923" s="93"/>
      <x:c r="E923" s="93"/>
      <x:c r="F923" s="93"/>
      <x:c r="G923" s="93"/>
      <x:c r="H923" s="93"/>
      <x:c r="I923" s="93"/>
      <x:c r="J923" s="93"/>
    </x:row>
    <x:row r="924" s="92" customFormat="1" ht="7.900000095367432" customHeight="1">
      <x:c r="B924" s="93"/>
      <x:c r="C924" s="93"/>
      <x:c r="D924" s="93"/>
      <x:c r="E924" s="93"/>
      <x:c r="F924" s="93"/>
      <x:c r="G924" s="93"/>
      <x:c r="H924" s="93"/>
      <x:c r="I924" s="93"/>
      <x:c r="J924" s="93"/>
    </x:row>
    <x:row r="925" s="92" customFormat="1" ht="7.900000095367432" customHeight="1">
      <x:c r="B925" s="93"/>
      <x:c r="C925" s="93"/>
      <x:c r="D925" s="93"/>
      <x:c r="E925" s="93"/>
      <x:c r="F925" s="93"/>
      <x:c r="G925" s="93"/>
      <x:c r="H925" s="93"/>
      <x:c r="I925" s="93"/>
      <x:c r="J925" s="93"/>
    </x:row>
    <x:row r="926" s="92" customFormat="1" ht="7.900000095367432" customHeight="1">
      <x:c r="B926" s="93"/>
      <x:c r="C926" s="93"/>
      <x:c r="D926" s="93"/>
      <x:c r="E926" s="93"/>
      <x:c r="F926" s="93"/>
      <x:c r="G926" s="93"/>
      <x:c r="H926" s="93"/>
      <x:c r="I926" s="93"/>
      <x:c r="J926" s="93"/>
    </x:row>
    <x:row r="927" s="92" customFormat="1" ht="7.900000095367432" customHeight="1">
      <x:c r="B927" s="93"/>
      <x:c r="C927" s="93"/>
      <x:c r="D927" s="93"/>
      <x:c r="E927" s="93"/>
      <x:c r="F927" s="93"/>
      <x:c r="G927" s="93"/>
      <x:c r="H927" s="93"/>
      <x:c r="I927" s="93"/>
      <x:c r="J927" s="93"/>
    </x:row>
    <x:row r="928" s="92" customFormat="1" ht="7.900000095367432" customHeight="1">
      <x:c r="B928" s="93"/>
      <x:c r="C928" s="93"/>
      <x:c r="D928" s="93"/>
      <x:c r="E928" s="93"/>
      <x:c r="F928" s="93"/>
      <x:c r="G928" s="93"/>
      <x:c r="H928" s="93"/>
      <x:c r="I928" s="93"/>
      <x:c r="J928" s="93"/>
    </x:row>
    <x:row r="929" s="92" customFormat="1" ht="7.900000095367432" customHeight="1">
      <x:c r="B929" s="93"/>
      <x:c r="C929" s="93"/>
      <x:c r="D929" s="93"/>
      <x:c r="E929" s="93"/>
      <x:c r="F929" s="93"/>
      <x:c r="G929" s="93"/>
      <x:c r="H929" s="93"/>
      <x:c r="I929" s="93"/>
      <x:c r="J929" s="93"/>
    </x:row>
    <x:row r="930" s="92" customFormat="1" ht="7.900000095367432" customHeight="1">
      <x:c r="B930" s="93"/>
      <x:c r="C930" s="93"/>
      <x:c r="D930" s="93"/>
      <x:c r="E930" s="93"/>
      <x:c r="F930" s="93"/>
      <x:c r="G930" s="93"/>
      <x:c r="H930" s="93"/>
      <x:c r="I930" s="93"/>
      <x:c r="J930" s="93"/>
    </x:row>
    <x:row r="931" s="92" customFormat="1" ht="7.900000095367432" customHeight="1">
      <x:c r="B931" s="93"/>
      <x:c r="C931" s="93"/>
      <x:c r="D931" s="93"/>
      <x:c r="E931" s="93"/>
      <x:c r="F931" s="93"/>
      <x:c r="G931" s="93"/>
      <x:c r="H931" s="93"/>
      <x:c r="I931" s="93"/>
      <x:c r="J931" s="93"/>
    </x:row>
    <x:row r="932" s="92" customFormat="1" ht="7.900000095367432" customHeight="1">
      <x:c r="B932" s="93"/>
      <x:c r="C932" s="93"/>
      <x:c r="D932" s="93"/>
      <x:c r="E932" s="93"/>
      <x:c r="F932" s="93"/>
      <x:c r="G932" s="93"/>
      <x:c r="H932" s="93"/>
      <x:c r="I932" s="93"/>
      <x:c r="J932" s="93"/>
    </x:row>
    <x:row r="933" s="92" customFormat="1" ht="7.900000095367432" customHeight="1">
      <x:c r="B933" s="93"/>
      <x:c r="C933" s="93"/>
      <x:c r="D933" s="93"/>
      <x:c r="E933" s="93"/>
      <x:c r="F933" s="93"/>
      <x:c r="G933" s="93"/>
      <x:c r="H933" s="93"/>
      <x:c r="I933" s="93"/>
      <x:c r="J933" s="93"/>
    </x:row>
    <x:row r="934" s="92" customFormat="1" ht="7.900000095367432" customHeight="1">
      <x:c r="B934" s="93"/>
      <x:c r="C934" s="93"/>
      <x:c r="D934" s="93"/>
      <x:c r="E934" s="93"/>
      <x:c r="F934" s="93"/>
      <x:c r="G934" s="93"/>
      <x:c r="H934" s="93"/>
      <x:c r="I934" s="93"/>
      <x:c r="J934" s="93"/>
    </x:row>
    <x:row r="935" s="92" customFormat="1" ht="7.900000095367432" customHeight="1">
      <x:c r="B935" s="93"/>
      <x:c r="C935" s="93"/>
      <x:c r="D935" s="93"/>
      <x:c r="E935" s="93"/>
      <x:c r="F935" s="93"/>
      <x:c r="G935" s="93"/>
      <x:c r="H935" s="93"/>
      <x:c r="I935" s="93"/>
      <x:c r="J935" s="93"/>
    </x:row>
    <x:row r="936" s="92" customFormat="1" ht="7.900000095367432" customHeight="1">
      <x:c r="B936" s="93"/>
      <x:c r="C936" s="93"/>
      <x:c r="D936" s="93"/>
      <x:c r="E936" s="93"/>
      <x:c r="F936" s="93"/>
      <x:c r="G936" s="93"/>
      <x:c r="H936" s="93"/>
      <x:c r="I936" s="93"/>
      <x:c r="J936" s="93"/>
    </x:row>
    <x:row r="937" s="92" customFormat="1" ht="7.900000095367432" customHeight="1">
      <x:c r="B937" s="93"/>
      <x:c r="C937" s="93"/>
      <x:c r="D937" s="93"/>
      <x:c r="E937" s="93"/>
      <x:c r="F937" s="93"/>
      <x:c r="G937" s="93"/>
      <x:c r="H937" s="93"/>
      <x:c r="I937" s="93"/>
      <x:c r="J937" s="93"/>
    </x:row>
    <x:row r="938" s="92" customFormat="1" ht="7.900000095367432" customHeight="1">
      <x:c r="B938" s="93"/>
      <x:c r="C938" s="93"/>
      <x:c r="D938" s="93"/>
      <x:c r="E938" s="93"/>
      <x:c r="F938" s="93"/>
      <x:c r="G938" s="93"/>
      <x:c r="H938" s="93"/>
      <x:c r="I938" s="93"/>
      <x:c r="J938" s="93"/>
    </x:row>
    <x:row r="939" s="92" customFormat="1" ht="7.900000095367432" customHeight="1">
      <x:c r="B939" s="93"/>
      <x:c r="C939" s="93"/>
      <x:c r="D939" s="93"/>
      <x:c r="E939" s="93"/>
      <x:c r="F939" s="93"/>
      <x:c r="G939" s="93"/>
      <x:c r="H939" s="93"/>
      <x:c r="I939" s="93"/>
      <x:c r="J939" s="93"/>
    </x:row>
    <x:row r="940" s="92" customFormat="1" ht="7.900000095367432" customHeight="1">
      <x:c r="B940" s="93"/>
      <x:c r="C940" s="93"/>
      <x:c r="D940" s="93"/>
      <x:c r="E940" s="93"/>
      <x:c r="F940" s="93"/>
      <x:c r="G940" s="93"/>
      <x:c r="H940" s="93"/>
      <x:c r="I940" s="93"/>
      <x:c r="J940" s="93"/>
    </x:row>
    <x:row r="941" s="92" customFormat="1" ht="7.900000095367432" customHeight="1">
      <x:c r="B941" s="93"/>
      <x:c r="C941" s="93"/>
      <x:c r="D941" s="93"/>
      <x:c r="E941" s="93"/>
      <x:c r="F941" s="93"/>
      <x:c r="G941" s="93"/>
      <x:c r="H941" s="93"/>
      <x:c r="I941" s="93"/>
      <x:c r="J941" s="93"/>
    </x:row>
    <x:row r="942" s="92" customFormat="1" ht="7.900000095367432" customHeight="1">
      <x:c r="B942" s="93"/>
      <x:c r="C942" s="93"/>
      <x:c r="D942" s="93"/>
      <x:c r="E942" s="93"/>
      <x:c r="F942" s="93"/>
      <x:c r="G942" s="93"/>
      <x:c r="H942" s="93"/>
      <x:c r="I942" s="93"/>
      <x:c r="J942" s="93"/>
    </x:row>
    <x:row r="943" s="92" customFormat="1" ht="7.900000095367432" customHeight="1">
      <x:c r="B943" s="93"/>
      <x:c r="C943" s="93"/>
      <x:c r="D943" s="93"/>
      <x:c r="E943" s="93"/>
      <x:c r="F943" s="93"/>
      <x:c r="G943" s="93"/>
      <x:c r="H943" s="93"/>
      <x:c r="I943" s="93"/>
      <x:c r="J943" s="93"/>
    </x:row>
    <x:row r="944" s="92" customFormat="1" ht="7.900000095367432" customHeight="1">
      <x:c r="B944" s="93"/>
      <x:c r="C944" s="93"/>
      <x:c r="D944" s="93"/>
      <x:c r="E944" s="93"/>
      <x:c r="F944" s="93"/>
      <x:c r="G944" s="93"/>
      <x:c r="H944" s="93"/>
      <x:c r="I944" s="93"/>
      <x:c r="J944" s="93"/>
    </x:row>
    <x:row r="945" s="92" customFormat="1" ht="7.900000095367432" customHeight="1">
      <x:c r="B945" s="93"/>
      <x:c r="C945" s="93"/>
      <x:c r="D945" s="93"/>
      <x:c r="E945" s="93"/>
      <x:c r="F945" s="93"/>
      <x:c r="G945" s="93"/>
      <x:c r="H945" s="93"/>
      <x:c r="I945" s="93"/>
      <x:c r="J945" s="93"/>
    </x:row>
    <x:row r="946" s="92" customFormat="1" ht="7.900000095367432" customHeight="1">
      <x:c r="B946" s="93"/>
      <x:c r="C946" s="93"/>
      <x:c r="D946" s="93"/>
      <x:c r="E946" s="93"/>
      <x:c r="F946" s="93"/>
      <x:c r="G946" s="93"/>
      <x:c r="H946" s="93"/>
      <x:c r="I946" s="93"/>
      <x:c r="J946" s="93"/>
    </x:row>
    <x:row r="947" s="92" customFormat="1" ht="7.900000095367432" customHeight="1">
      <x:c r="B947" s="93"/>
      <x:c r="C947" s="93"/>
      <x:c r="D947" s="93"/>
      <x:c r="E947" s="93"/>
      <x:c r="F947" s="93"/>
      <x:c r="G947" s="93"/>
      <x:c r="H947" s="93"/>
      <x:c r="I947" s="93"/>
      <x:c r="J947" s="93"/>
    </x:row>
    <x:row r="948" s="92" customFormat="1" ht="7.900000095367432" customHeight="1">
      <x:c r="B948" s="93"/>
      <x:c r="C948" s="93"/>
      <x:c r="D948" s="93"/>
      <x:c r="E948" s="93"/>
      <x:c r="F948" s="93"/>
      <x:c r="G948" s="93"/>
      <x:c r="H948" s="93"/>
      <x:c r="I948" s="93"/>
      <x:c r="J948" s="93"/>
    </x:row>
    <x:row r="949" s="92" customFormat="1" ht="7.900000095367432" customHeight="1">
      <x:c r="B949" s="93"/>
      <x:c r="C949" s="93"/>
      <x:c r="D949" s="93"/>
      <x:c r="E949" s="93"/>
      <x:c r="F949" s="93"/>
      <x:c r="G949" s="93"/>
      <x:c r="H949" s="93"/>
      <x:c r="I949" s="93"/>
      <x:c r="J949" s="93"/>
    </x:row>
    <x:row r="950" s="92" customFormat="1" ht="7.900000095367432" customHeight="1">
      <x:c r="B950" s="93"/>
      <x:c r="C950" s="93"/>
      <x:c r="D950" s="93"/>
      <x:c r="E950" s="93"/>
      <x:c r="F950" s="93"/>
      <x:c r="G950" s="93"/>
      <x:c r="H950" s="93"/>
      <x:c r="I950" s="93"/>
      <x:c r="J950" s="93"/>
    </x:row>
    <x:row r="951" s="92" customFormat="1" ht="7.900000095367432" customHeight="1">
      <x:c r="B951" s="93"/>
      <x:c r="C951" s="93"/>
      <x:c r="D951" s="93"/>
      <x:c r="E951" s="93"/>
      <x:c r="F951" s="93"/>
      <x:c r="G951" s="93"/>
      <x:c r="H951" s="93"/>
      <x:c r="I951" s="93"/>
      <x:c r="J951" s="93"/>
    </x:row>
    <x:row r="952" s="92" customFormat="1" ht="7.900000095367432" customHeight="1">
      <x:c r="B952" s="93"/>
      <x:c r="C952" s="93"/>
      <x:c r="D952" s="93"/>
      <x:c r="E952" s="93"/>
      <x:c r="F952" s="93"/>
      <x:c r="G952" s="93"/>
      <x:c r="H952" s="93"/>
      <x:c r="I952" s="93"/>
      <x:c r="J952" s="93"/>
    </x:row>
    <x:row r="953" s="92" customFormat="1" ht="7.900000095367432" customHeight="1">
      <x:c r="B953" s="93"/>
      <x:c r="C953" s="93"/>
      <x:c r="D953" s="93"/>
      <x:c r="E953" s="93"/>
      <x:c r="F953" s="93"/>
      <x:c r="G953" s="93"/>
      <x:c r="H953" s="93"/>
      <x:c r="I953" s="93"/>
      <x:c r="J953" s="93"/>
    </x:row>
    <x:row r="954" s="92" customFormat="1" ht="7.900000095367432" customHeight="1">
      <x:c r="B954" s="93"/>
      <x:c r="C954" s="93"/>
      <x:c r="D954" s="93"/>
      <x:c r="E954" s="93"/>
      <x:c r="F954" s="93"/>
      <x:c r="G954" s="93"/>
      <x:c r="H954" s="93"/>
      <x:c r="I954" s="93"/>
      <x:c r="J954" s="93"/>
    </x:row>
    <x:row r="955" s="92" customFormat="1" ht="7.900000095367432" customHeight="1">
      <x:c r="B955" s="93"/>
      <x:c r="C955" s="93"/>
      <x:c r="D955" s="93"/>
      <x:c r="E955" s="93"/>
      <x:c r="F955" s="93"/>
      <x:c r="G955" s="93"/>
      <x:c r="H955" s="93"/>
      <x:c r="I955" s="93"/>
      <x:c r="J955" s="93"/>
    </x:row>
    <x:row r="956" s="92" customFormat="1" ht="7.900000095367432" customHeight="1">
      <x:c r="B956" s="93"/>
      <x:c r="C956" s="93"/>
      <x:c r="D956" s="93"/>
      <x:c r="E956" s="93"/>
      <x:c r="F956" s="93"/>
      <x:c r="G956" s="93"/>
      <x:c r="H956" s="93"/>
      <x:c r="I956" s="93"/>
      <x:c r="J956" s="93"/>
    </x:row>
    <x:row r="957" s="92" customFormat="1" ht="7.900000095367432" customHeight="1">
      <x:c r="B957" s="93"/>
      <x:c r="C957" s="93"/>
      <x:c r="D957" s="93"/>
      <x:c r="E957" s="93"/>
      <x:c r="F957" s="93"/>
      <x:c r="G957" s="93"/>
      <x:c r="H957" s="93"/>
      <x:c r="I957" s="93"/>
      <x:c r="J957" s="93"/>
    </x:row>
    <x:row r="958" s="92" customFormat="1" ht="7.900000095367432" customHeight="1">
      <x:c r="B958" s="93"/>
      <x:c r="C958" s="93"/>
      <x:c r="D958" s="93"/>
      <x:c r="E958" s="93"/>
      <x:c r="F958" s="93"/>
      <x:c r="G958" s="93"/>
      <x:c r="H958" s="93"/>
      <x:c r="I958" s="93"/>
      <x:c r="J958" s="93"/>
    </x:row>
    <x:row r="959" s="92" customFormat="1" ht="7.900000095367432" customHeight="1">
      <x:c r="B959" s="93"/>
      <x:c r="C959" s="93"/>
      <x:c r="D959" s="93"/>
      <x:c r="E959" s="93"/>
      <x:c r="F959" s="93"/>
      <x:c r="G959" s="93"/>
      <x:c r="H959" s="93"/>
      <x:c r="I959" s="93"/>
      <x:c r="J959" s="93"/>
    </x:row>
    <x:row r="960" s="92" customFormat="1" ht="7.900000095367432" customHeight="1">
      <x:c r="B960" s="93"/>
      <x:c r="C960" s="93"/>
      <x:c r="D960" s="93"/>
      <x:c r="E960" s="93"/>
      <x:c r="F960" s="93"/>
      <x:c r="G960" s="93"/>
      <x:c r="H960" s="93"/>
      <x:c r="I960" s="93"/>
      <x:c r="J960" s="93"/>
    </x:row>
    <x:row r="961" s="92" customFormat="1" ht="7.900000095367432" customHeight="1">
      <x:c r="B961" s="93"/>
      <x:c r="C961" s="93"/>
      <x:c r="D961" s="93"/>
      <x:c r="E961" s="93"/>
      <x:c r="F961" s="93"/>
      <x:c r="G961" s="93"/>
      <x:c r="H961" s="93"/>
      <x:c r="I961" s="93"/>
      <x:c r="J961" s="93"/>
    </x:row>
    <x:row r="962" s="92" customFormat="1" ht="7.900000095367432" customHeight="1">
      <x:c r="B962" s="93"/>
      <x:c r="C962" s="93"/>
      <x:c r="D962" s="93"/>
      <x:c r="E962" s="93"/>
      <x:c r="F962" s="93"/>
      <x:c r="G962" s="93"/>
      <x:c r="H962" s="93"/>
      <x:c r="I962" s="93"/>
      <x:c r="J962" s="93"/>
    </x:row>
    <x:row r="963" s="92" customFormat="1" ht="7.900000095367432" customHeight="1">
      <x:c r="B963" s="93"/>
      <x:c r="C963" s="93"/>
      <x:c r="D963" s="93"/>
      <x:c r="E963" s="93"/>
      <x:c r="F963" s="93"/>
      <x:c r="G963" s="93"/>
      <x:c r="H963" s="93"/>
      <x:c r="I963" s="93"/>
      <x:c r="J963" s="93"/>
    </x:row>
    <x:row r="964" s="92" customFormat="1" ht="7.900000095367432" customHeight="1">
      <x:c r="B964" s="93"/>
      <x:c r="C964" s="93"/>
      <x:c r="D964" s="93"/>
      <x:c r="E964" s="93"/>
      <x:c r="F964" s="93"/>
      <x:c r="G964" s="93"/>
      <x:c r="H964" s="93"/>
      <x:c r="I964" s="93"/>
      <x:c r="J964" s="93"/>
    </x:row>
    <x:row r="965" s="92" customFormat="1" ht="7.900000095367432" customHeight="1">
      <x:c r="B965" s="93"/>
      <x:c r="C965" s="93"/>
      <x:c r="D965" s="93"/>
      <x:c r="E965" s="93"/>
      <x:c r="F965" s="93"/>
      <x:c r="G965" s="93"/>
      <x:c r="H965" s="93"/>
      <x:c r="I965" s="93"/>
      <x:c r="J965" s="93"/>
    </x:row>
    <x:row r="966" s="92" customFormat="1" ht="7.900000095367432" customHeight="1">
      <x:c r="B966" s="93"/>
      <x:c r="C966" s="93"/>
      <x:c r="D966" s="93"/>
      <x:c r="E966" s="93"/>
      <x:c r="F966" s="93"/>
      <x:c r="G966" s="93"/>
      <x:c r="H966" s="93"/>
      <x:c r="I966" s="93"/>
      <x:c r="J966" s="93"/>
    </x:row>
    <x:row r="967" s="92" customFormat="1" ht="7.900000095367432" customHeight="1">
      <x:c r="B967" s="93"/>
      <x:c r="C967" s="93"/>
      <x:c r="D967" s="93"/>
      <x:c r="E967" s="93"/>
      <x:c r="F967" s="93"/>
      <x:c r="G967" s="93"/>
      <x:c r="H967" s="93"/>
      <x:c r="I967" s="93"/>
      <x:c r="J967" s="93"/>
    </x:row>
    <x:row r="968" s="92" customFormat="1" ht="7.900000095367432" customHeight="1">
      <x:c r="B968" s="93"/>
      <x:c r="C968" s="93"/>
      <x:c r="D968" s="93"/>
      <x:c r="E968" s="93"/>
      <x:c r="F968" s="93"/>
      <x:c r="G968" s="93"/>
      <x:c r="H968" s="93"/>
      <x:c r="I968" s="93"/>
      <x:c r="J968" s="93"/>
    </x:row>
    <x:row r="969" s="92" customFormat="1" ht="7.900000095367432" customHeight="1">
      <x:c r="B969" s="93"/>
      <x:c r="C969" s="93"/>
      <x:c r="D969" s="93"/>
      <x:c r="E969" s="93"/>
      <x:c r="F969" s="93"/>
      <x:c r="G969" s="93"/>
      <x:c r="H969" s="93"/>
      <x:c r="I969" s="93"/>
      <x:c r="J969" s="93"/>
    </x:row>
    <x:row r="970" s="92" customFormat="1" ht="7.900000095367432" customHeight="1">
      <x:c r="B970" s="93"/>
      <x:c r="C970" s="93"/>
      <x:c r="D970" s="93"/>
      <x:c r="E970" s="93"/>
      <x:c r="F970" s="93"/>
      <x:c r="G970" s="93"/>
      <x:c r="H970" s="93"/>
      <x:c r="I970" s="93"/>
      <x:c r="J970" s="93"/>
    </x:row>
    <x:row r="971" s="92" customFormat="1" ht="7.900000095367432" customHeight="1">
      <x:c r="B971" s="93"/>
      <x:c r="C971" s="93"/>
      <x:c r="D971" s="93"/>
      <x:c r="E971" s="93"/>
      <x:c r="F971" s="93"/>
      <x:c r="G971" s="93"/>
      <x:c r="H971" s="93"/>
      <x:c r="I971" s="93"/>
      <x:c r="J971" s="93"/>
    </x:row>
    <x:row r="972" s="92" customFormat="1" ht="7.900000095367432" customHeight="1">
      <x:c r="B972" s="93"/>
      <x:c r="C972" s="93"/>
      <x:c r="D972" s="93"/>
      <x:c r="E972" s="93"/>
      <x:c r="F972" s="93"/>
      <x:c r="G972" s="93"/>
      <x:c r="H972" s="93"/>
      <x:c r="I972" s="93"/>
      <x:c r="J972" s="93"/>
    </x:row>
    <x:row r="973" s="92" customFormat="1" ht="7.900000095367432" customHeight="1">
      <x:c r="B973" s="93"/>
      <x:c r="C973" s="93"/>
      <x:c r="D973" s="93"/>
      <x:c r="E973" s="93"/>
      <x:c r="F973" s="93"/>
      <x:c r="G973" s="93"/>
      <x:c r="H973" s="93"/>
      <x:c r="I973" s="93"/>
      <x:c r="J973" s="93"/>
    </x:row>
    <x:row r="974" s="92" customFormat="1" ht="7.900000095367432" customHeight="1">
      <x:c r="B974" s="93"/>
      <x:c r="C974" s="93"/>
      <x:c r="D974" s="93"/>
      <x:c r="E974" s="93"/>
      <x:c r="F974" s="93"/>
      <x:c r="G974" s="93"/>
      <x:c r="H974" s="93"/>
      <x:c r="I974" s="93"/>
      <x:c r="J974" s="93"/>
    </x:row>
    <x:row r="975" s="92" customFormat="1" ht="7.900000095367432" customHeight="1">
      <x:c r="B975" s="93"/>
      <x:c r="C975" s="93"/>
      <x:c r="D975" s="93"/>
      <x:c r="E975" s="93"/>
      <x:c r="F975" s="93"/>
      <x:c r="G975" s="93"/>
      <x:c r="H975" s="93"/>
      <x:c r="I975" s="93"/>
      <x:c r="J975" s="93"/>
    </x:row>
    <x:row r="976" s="92" customFormat="1" ht="7.900000095367432" customHeight="1">
      <x:c r="B976" s="93"/>
      <x:c r="C976" s="93"/>
      <x:c r="D976" s="93"/>
      <x:c r="E976" s="93"/>
      <x:c r="F976" s="93"/>
      <x:c r="G976" s="93"/>
      <x:c r="H976" s="93"/>
      <x:c r="I976" s="93"/>
      <x:c r="J976" s="93"/>
    </x:row>
    <x:row r="977" s="92" customFormat="1" ht="7.900000095367432" customHeight="1">
      <x:c r="B977" s="93"/>
      <x:c r="C977" s="93"/>
      <x:c r="D977" s="93"/>
      <x:c r="E977" s="93"/>
      <x:c r="F977" s="93"/>
      <x:c r="G977" s="93"/>
      <x:c r="H977" s="93"/>
      <x:c r="I977" s="93"/>
      <x:c r="J977" s="93"/>
    </x:row>
    <x:row r="978" s="92" customFormat="1" ht="7.900000095367432" customHeight="1">
      <x:c r="B978" s="93"/>
      <x:c r="C978" s="93"/>
      <x:c r="D978" s="93"/>
      <x:c r="E978" s="93"/>
      <x:c r="F978" s="93"/>
      <x:c r="G978" s="93"/>
      <x:c r="H978" s="93"/>
      <x:c r="I978" s="93"/>
      <x:c r="J978" s="93"/>
    </x:row>
    <x:row r="979" s="92" customFormat="1" ht="7.900000095367432" customHeight="1">
      <x:c r="B979" s="93"/>
      <x:c r="C979" s="93"/>
      <x:c r="D979" s="93"/>
      <x:c r="E979" s="93"/>
      <x:c r="F979" s="93"/>
      <x:c r="G979" s="93"/>
      <x:c r="H979" s="93"/>
      <x:c r="I979" s="93"/>
      <x:c r="J979" s="93"/>
    </x:row>
    <x:row r="980" s="92" customFormat="1" ht="7.900000095367432" customHeight="1">
      <x:c r="B980" s="93"/>
      <x:c r="C980" s="93"/>
      <x:c r="D980" s="93"/>
      <x:c r="E980" s="93"/>
      <x:c r="F980" s="93"/>
      <x:c r="G980" s="93"/>
      <x:c r="H980" s="93"/>
      <x:c r="I980" s="93"/>
      <x:c r="J980" s="93"/>
    </x:row>
    <x:row r="981" s="92" customFormat="1" ht="7.900000095367432" customHeight="1">
      <x:c r="B981" s="93"/>
      <x:c r="C981" s="93"/>
      <x:c r="D981" s="93"/>
      <x:c r="E981" s="93"/>
      <x:c r="F981" s="93"/>
      <x:c r="G981" s="93"/>
      <x:c r="H981" s="93"/>
      <x:c r="I981" s="93"/>
      <x:c r="J981" s="93"/>
    </x:row>
    <x:row r="982" s="92" customFormat="1" ht="7.900000095367432" customHeight="1">
      <x:c r="B982" s="93"/>
      <x:c r="C982" s="93"/>
      <x:c r="D982" s="93"/>
      <x:c r="E982" s="93"/>
      <x:c r="F982" s="93"/>
      <x:c r="G982" s="93"/>
      <x:c r="H982" s="93"/>
      <x:c r="I982" s="93"/>
      <x:c r="J982" s="93"/>
    </x:row>
    <x:row r="983" s="92" customFormat="1" ht="7.900000095367432" customHeight="1">
      <x:c r="B983" s="93"/>
      <x:c r="C983" s="93"/>
      <x:c r="D983" s="93"/>
      <x:c r="E983" s="93"/>
      <x:c r="F983" s="93"/>
      <x:c r="G983" s="93"/>
      <x:c r="H983" s="93"/>
      <x:c r="I983" s="93"/>
      <x:c r="J983" s="93"/>
    </x:row>
    <x:row r="984" s="92" customFormat="1" ht="7.900000095367432" customHeight="1">
      <x:c r="B984" s="93"/>
      <x:c r="C984" s="93"/>
      <x:c r="D984" s="93"/>
      <x:c r="E984" s="93"/>
      <x:c r="F984" s="93"/>
      <x:c r="G984" s="93"/>
      <x:c r="H984" s="93"/>
      <x:c r="I984" s="93"/>
      <x:c r="J984" s="93"/>
    </x:row>
    <x:row r="985" s="92" customFormat="1" ht="7.900000095367432" customHeight="1">
      <x:c r="B985" s="93"/>
      <x:c r="C985" s="93"/>
      <x:c r="D985" s="93"/>
      <x:c r="E985" s="93"/>
      <x:c r="F985" s="93"/>
      <x:c r="G985" s="93"/>
      <x:c r="H985" s="93"/>
      <x:c r="I985" s="93"/>
      <x:c r="J985" s="93"/>
    </x:row>
    <x:row r="986" s="92" customFormat="1" ht="7.900000095367432" customHeight="1">
      <x:c r="B986" s="93"/>
      <x:c r="C986" s="93"/>
      <x:c r="D986" s="93"/>
      <x:c r="E986" s="93"/>
      <x:c r="F986" s="93"/>
      <x:c r="G986" s="93"/>
      <x:c r="H986" s="93"/>
      <x:c r="I986" s="93"/>
      <x:c r="J986" s="93"/>
    </x:row>
    <x:row r="987" s="92" customFormat="1" ht="7.900000095367432" customHeight="1">
      <x:c r="B987" s="93"/>
      <x:c r="C987" s="93"/>
      <x:c r="D987" s="93"/>
      <x:c r="E987" s="93"/>
      <x:c r="F987" s="93"/>
      <x:c r="G987" s="93"/>
      <x:c r="H987" s="93"/>
      <x:c r="I987" s="93"/>
      <x:c r="J987" s="93"/>
    </x:row>
    <x:row r="988" s="92" customFormat="1" ht="7.900000095367432" customHeight="1">
      <x:c r="B988" s="93"/>
      <x:c r="C988" s="93"/>
      <x:c r="D988" s="93"/>
      <x:c r="E988" s="93"/>
      <x:c r="F988" s="93"/>
      <x:c r="G988" s="93"/>
      <x:c r="H988" s="93"/>
      <x:c r="I988" s="93"/>
      <x:c r="J988" s="93"/>
    </x:row>
    <x:row r="989" s="92" customFormat="1" ht="7.900000095367432" customHeight="1">
      <x:c r="B989" s="93"/>
      <x:c r="C989" s="93"/>
      <x:c r="D989" s="93"/>
      <x:c r="E989" s="93"/>
      <x:c r="F989" s="93"/>
      <x:c r="G989" s="93"/>
      <x:c r="H989" s="93"/>
      <x:c r="I989" s="93"/>
      <x:c r="J989" s="93"/>
    </x:row>
    <x:row r="990" s="92" customFormat="1" ht="7.900000095367432" customHeight="1">
      <x:c r="B990" s="93"/>
      <x:c r="C990" s="93"/>
      <x:c r="D990" s="93"/>
      <x:c r="E990" s="93"/>
      <x:c r="F990" s="93"/>
      <x:c r="G990" s="93"/>
      <x:c r="H990" s="93"/>
      <x:c r="I990" s="93"/>
      <x:c r="J990" s="93"/>
    </x:row>
    <x:row r="991" s="92" customFormat="1" ht="7.900000095367432" customHeight="1">
      <x:c r="B991" s="93"/>
      <x:c r="C991" s="93"/>
      <x:c r="D991" s="93"/>
      <x:c r="E991" s="93"/>
      <x:c r="F991" s="93"/>
      <x:c r="G991" s="93"/>
      <x:c r="H991" s="93"/>
      <x:c r="I991" s="93"/>
      <x:c r="J991" s="93"/>
    </x:row>
    <x:row r="992" s="92" customFormat="1" ht="7.900000095367432" customHeight="1">
      <x:c r="B992" s="93"/>
      <x:c r="C992" s="93"/>
      <x:c r="D992" s="93"/>
      <x:c r="E992" s="93"/>
      <x:c r="F992" s="93"/>
      <x:c r="G992" s="93"/>
      <x:c r="H992" s="93"/>
      <x:c r="I992" s="93"/>
      <x:c r="J992" s="93"/>
    </x:row>
  </x:sheetData>
  <x:mergeCells>
    <x:mergeCell ref="A2:I2"/>
    <x:mergeCell ref="J2:J3"/>
    <x:mergeCell ref="K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3" width="4.06640625" style="93" customWidth="1"/>
    <x:col min="4" max="4" width="41.9296875" style="93" customWidth="1"/>
    <x:col min="5" max="5" width="45" style="93" customWidth="1"/>
    <x:col min="6" max="6" width="42.1328125" style="93" customWidth="1"/>
    <x:col min="7" max="7" width="16.86328125" style="93" customWidth="1"/>
    <x:col min="8" max="9" width="22.73046875" style="93" customWidth="1"/>
    <x:col min="10" max="21" width="14" style="93" customWidth="1"/>
    <x:col min="22" max="16384" width="14.3984375" style="93" customWidth="0"/>
  </x:cols>
  <x:sheetData>
    <x:row r="2" ht="12" customHeight="1">
      <x:c r="A2" s="651" t="s">
        <x:v>193</x:v>
      </x:c>
      <x:c r="B2" s="652"/>
      <x:c r="C2" s="652"/>
      <x:c r="D2" s="652"/>
      <x:c r="E2" s="652"/>
      <x:c r="F2" s="652"/>
      <x:c r="G2" s="652"/>
      <x:c r="H2" s="652"/>
      <x:c r="I2" s="652"/>
      <x:c r="J2" s="653"/>
      <x:c r="K2" s="649" t="s">
        <x:v>162</x:v>
      </x:c>
      <x:c r="L2" s="640" t="s">
        <x:v>163</x:v>
      </x:c>
      <x:c r="M2" s="641"/>
      <x:c r="N2" s="642"/>
    </x:row>
    <x:row r="3" ht="11.649999618530273" customHeight="1">
      <x:c r="A3" s="116" t="s">
        <x:v>47</x:v>
      </x:c>
      <x:c r="B3" s="121" t="s">
        <x:v>184</x:v>
      </x:c>
      <x:c r="C3" s="656" t="s">
        <x:v>194</x:v>
      </x:c>
      <x:c r="D3" s="657"/>
      <x:c r="E3" s="121" t="s">
        <x:v>193</x:v>
      </x:c>
      <x:c r="F3" s="121" t="s">
        <x:v>165</x:v>
      </x:c>
      <x:c r="G3" s="121" t="s">
        <x:v>11</x:v>
      </x:c>
      <x:c r="H3" s="117" t="s">
        <x:v>166</x:v>
      </x:c>
      <x:c r="I3" s="117" t="s">
        <x:v>167</x:v>
      </x:c>
      <x:c r="J3" s="118" t="s">
        <x:v>168</x:v>
      </x:c>
      <x:c r="K3" s="650"/>
      <x:c r="L3" s="146" t="s">
        <x:v>169</x:v>
      </x:c>
      <x:c r="M3" s="146" t="s">
        <x:v>170</x:v>
      </x:c>
      <x:c r="N3" s="146" t="s">
        <x:v>171</x:v>
      </x:c>
    </x:row>
    <x:row r="4" ht="47.25">
      <x:c r="A4" s="94">
        <x:v>1</x:v>
      </x:c>
      <x:c r="B4" s="95" t="s">
        <x:v>102</x:v>
      </x:c>
      <x:c r="C4" s="130">
        <x:v>1</x:v>
      </x:c>
      <x:c r="D4" s="114" t="s">
        <x:v>202</x:v>
      </x:c>
      <x:c r="E4" s="95" t="s">
        <x:v>203</x:v>
      </x:c>
      <x:c r="F4" s="115" t="s">
        <x:v>204</x:v>
      </x:c>
      <x:c r="G4" s="115" t="s">
        <x:v>40</x:v>
      </x:c>
      <x:c r="H4" s="110">
        <x:v>100</x:v>
      </x:c>
      <x:c r="I4" s="110">
        <x:v>96</x:v>
      </x:c>
      <x:c r="J4" s="98">
        <x:v>0.96</x:v>
      </x:c>
      <x:c r="K4" s="125" t="s">
        <x:v>173</x:v>
      </x:c>
      <x:c r="L4" s="98">
        <x:v>250000000</x:v>
      </x:c>
      <x:c r="M4" s="98">
        <x:v>230000000</x:v>
      </x:c>
      <x:c r="N4" s="125">
        <x:v>0.92</x:v>
      </x:c>
    </x:row>
    <x:row r="5" ht="47.25">
      <x:c r="A5" s="94"/>
      <x:c r="B5" s="95" t="s">
        <x:v>102</x:v>
      </x:c>
      <x:c r="C5" s="130">
        <x:v>2</x:v>
      </x:c>
      <x:c r="D5" s="114" t="s">
        <x:v>147</x:v>
      </x:c>
      <x:c r="E5" s="131" t="s">
        <x:v>203</x:v>
      </x:c>
      <x:c r="F5" s="115" t="s">
        <x:v>204</x:v>
      </x:c>
      <x:c r="G5" s="115" t="s">
        <x:v>40</x:v>
      </x:c>
      <x:c r="H5" s="110">
        <x:v>100</x:v>
      </x:c>
      <x:c r="I5" s="110">
        <x:v>96</x:v>
      </x:c>
      <x:c r="J5" s="1506" t="n">
        <x:f>IF(OR(H5="",I5="",H5=0),"",I5/H5)</x:f>
        <x:v>0.96</x:v>
      </x:c>
      <x:c r="K5" s="125" t="s">
        <x:v>173</x:v>
      </x:c>
      <x:c r="L5" s="98">
        <x:v>5700000000</x:v>
      </x:c>
      <x:c r="M5" s="98">
        <x:v>5244000000</x:v>
      </x:c>
      <x:c r="N5" s="1510" t="n">
        <x:f>IF(OR(L5="",M5="",L5=0),"",M5/L5)</x:f>
        <x:v>0.92</x:v>
      </x:c>
    </x:row>
    <x:row r="6" ht="10.5" customHeight="1">
      <x:c r="A6" s="94"/>
      <x:c r="B6" s="95" t="s">
        <x:v>102</x:v>
      </x:c>
      <x:c r="C6" s="130">
        <x:v>3</x:v>
      </x:c>
      <x:c r="D6" s="114" t="s">
        <x:v>149</x:v>
      </x:c>
      <x:c r="E6" s="131" t="s">
        <x:v>203</x:v>
      </x:c>
      <x:c r="F6" s="115" t="s">
        <x:v>204</x:v>
      </x:c>
      <x:c r="G6" s="115" t="s">
        <x:v>40</x:v>
      </x:c>
      <x:c r="H6" s="110">
        <x:v>100</x:v>
      </x:c>
      <x:c r="I6" s="110">
        <x:v>96</x:v>
      </x:c>
      <x:c r="J6" s="1506" t="n">
        <x:f>IF(OR(H6="",I6="",H6=0),"",I6/H6)</x:f>
        <x:v>0.96</x:v>
      </x:c>
      <x:c r="K6" s="125" t="s">
        <x:v>173</x:v>
      </x:c>
      <x:c r="L6" s="98">
        <x:v>350000000</x:v>
      </x:c>
      <x:c r="M6" s="98">
        <x:v>322000000</x:v>
      </x:c>
      <x:c r="N6" s="1510" t="n">
        <x:f>IF(OR(L6="",M6="",L6=0),"",M6/L6)</x:f>
        <x:v>0.92</x:v>
      </x:c>
    </x:row>
    <x:row r="7" ht="47.25">
      <x:c r="A7" s="94"/>
      <x:c r="B7" s="95" t="s">
        <x:v>102</x:v>
      </x:c>
      <x:c r="C7" s="130">
        <x:v>4</x:v>
      </x:c>
      <x:c r="D7" s="114" t="s">
        <x:v>151</x:v>
      </x:c>
      <x:c r="E7" s="131" t="s">
        <x:v>203</x:v>
      </x:c>
      <x:c r="F7" s="115" t="s">
        <x:v>204</x:v>
      </x:c>
      <x:c r="G7" s="115" t="s">
        <x:v>40</x:v>
      </x:c>
      <x:c r="H7" s="110">
        <x:v>100</x:v>
      </x:c>
      <x:c r="I7" s="110">
        <x:v>96</x:v>
      </x:c>
      <x:c r="J7" s="1506" t="n">
        <x:f>IF(OR(H7="",I7="",H7=0),"",I7/H7)</x:f>
        <x:v>0.96</x:v>
      </x:c>
      <x:c r="K7" s="125" t="s">
        <x:v>173</x:v>
      </x:c>
      <x:c r="L7" s="98">
        <x:v>900000000</x:v>
      </x:c>
      <x:c r="M7" s="98">
        <x:v>828000000</x:v>
      </x:c>
      <x:c r="N7" s="1510" t="n">
        <x:f>IF(OR(L7="",M7="",L7=0),"",M7/L7)</x:f>
        <x:v>0.92</x:v>
      </x:c>
    </x:row>
    <x:row r="8" ht="47.25">
      <x:c r="A8" s="94"/>
      <x:c r="B8" s="95" t="s">
        <x:v>102</x:v>
      </x:c>
      <x:c r="C8" s="130">
        <x:v>5</x:v>
      </x:c>
      <x:c r="D8" s="114" t="s">
        <x:v>153</x:v>
      </x:c>
      <x:c r="E8" s="131" t="s">
        <x:v>203</x:v>
      </x:c>
      <x:c r="F8" s="115" t="s">
        <x:v>204</x:v>
      </x:c>
      <x:c r="G8" s="115" t="s">
        <x:v>40</x:v>
      </x:c>
      <x:c r="H8" s="110">
        <x:v>100</x:v>
      </x:c>
      <x:c r="I8" s="110">
        <x:v>96</x:v>
      </x:c>
      <x:c r="J8" s="1506" t="n">
        <x:f>IF(OR(H8="",I8="",H8=0),"",I8/H8)</x:f>
        <x:v>0.96</x:v>
      </x:c>
      <x:c r="K8" s="125" t="s">
        <x:v>173</x:v>
      </x:c>
      <x:c r="L8" s="98">
        <x:v>450000000</x:v>
      </x:c>
      <x:c r="M8" s="98">
        <x:v>414000000</x:v>
      </x:c>
      <x:c r="N8" s="1510" t="n">
        <x:f>IF(OR(L8="",M8="",L8=0),"",M8/L8)</x:f>
        <x:v>0.92</x:v>
      </x:c>
    </x:row>
    <x:row r="9" ht="47.25">
      <x:c r="A9" s="94"/>
      <x:c r="B9" s="95" t="s">
        <x:v>102</x:v>
      </x:c>
      <x:c r="C9" s="130">
        <x:v>6</x:v>
      </x:c>
      <x:c r="D9" s="114" t="s">
        <x:v>205</x:v>
      </x:c>
      <x:c r="E9" s="131" t="s">
        <x:v>203</x:v>
      </x:c>
      <x:c r="F9" s="115" t="s">
        <x:v>204</x:v>
      </x:c>
      <x:c r="G9" s="115" t="s">
        <x:v>40</x:v>
      </x:c>
      <x:c r="H9" s="110">
        <x:v>100</x:v>
      </x:c>
      <x:c r="I9" s="110">
        <x:v>96</x:v>
      </x:c>
      <x:c r="J9" s="1506" t="n">
        <x:f>IF(OR(H9="",I9="",H9=0),"",I9/H9)</x:f>
        <x:v>0.96</x:v>
      </x:c>
      <x:c r="K9" s="125" t="s">
        <x:v>173</x:v>
      </x:c>
      <x:c r="L9" s="98">
        <x:v>600000000</x:v>
      </x:c>
      <x:c r="M9" s="98">
        <x:v>552000000</x:v>
      </x:c>
      <x:c r="N9" s="1510" t="n">
        <x:f>IF(OR(L9="",M9="",L9=0),"",M9/L9)</x:f>
        <x:v>0.92</x:v>
      </x:c>
    </x:row>
    <x:row r="10" ht="47.25">
      <x:c r="A10" s="94"/>
      <x:c r="B10" s="95" t="s">
        <x:v>102</x:v>
      </x:c>
      <x:c r="C10" s="130">
        <x:v>7</x:v>
      </x:c>
      <x:c r="D10" s="114" t="s">
        <x:v>206</x:v>
      </x:c>
      <x:c r="E10" s="131" t="s">
        <x:v>203</x:v>
      </x:c>
      <x:c r="F10" s="115" t="s">
        <x:v>204</x:v>
      </x:c>
      <x:c r="G10" s="115" t="s">
        <x:v>40</x:v>
      </x:c>
      <x:c r="H10" s="110">
        <x:v>100</x:v>
      </x:c>
      <x:c r="I10" s="110">
        <x:v>96</x:v>
      </x:c>
      <x:c r="J10" s="1506" t="n">
        <x:f>IF(OR(H10="",I10="",H10=0),"",I10/H10)</x:f>
        <x:v>0.96</x:v>
      </x:c>
      <x:c r="K10" s="125" t="s">
        <x:v>173</x:v>
      </x:c>
      <x:c r="L10" s="98">
        <x:v>550000000</x:v>
      </x:c>
      <x:c r="M10" s="98">
        <x:v>506000000</x:v>
      </x:c>
      <x:c r="N10" s="1510" t="n">
        <x:f>IF(OR(L10="",M10="",L10=0),"",M10/L10)</x:f>
        <x:v>0.92</x:v>
      </x:c>
    </x:row>
    <x:row r="11" s="92" customFormat="1"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</x:row>
    <x:row r="12" s="92" customFormat="1"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</x:row>
    <x:row r="13" s="92" customFormat="1"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</x:row>
    <x:row r="14" s="92" customFormat="1" ht="7.900000095367432" customHeight="1"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</x:row>
    <x:row r="15" s="92" customFormat="1" ht="7.900000095367432" customHeight="1"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</x:row>
    <x:row r="16" s="92" customFormat="1" ht="7.900000095367432" customHeight="1"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</x:row>
    <x:row r="17" s="92" customFormat="1" ht="7.900000095367432" customHeight="1"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</x:row>
    <x:row r="18" s="92" customFormat="1" ht="7.900000095367432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</x:row>
    <x:row r="19" s="92" customFormat="1" ht="7.900000095367432" customHeight="1"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</x:row>
    <x:row r="20" s="92" customFormat="1" ht="7.900000095367432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</x:row>
    <x:row r="21" s="92" customFormat="1" ht="7.900000095367432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</x:row>
    <x:row r="22" s="92" customFormat="1" ht="7.900000095367432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</x:row>
    <x:row r="23" s="92" customFormat="1" ht="7.900000095367432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</x:row>
    <x:row r="24" s="92" customFormat="1" ht="7.900000095367432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</x:row>
    <x:row r="25" s="92" customFormat="1" ht="7.900000095367432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</x:row>
    <x:row r="26" s="92" customFormat="1" ht="7.900000095367432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</x:row>
    <x:row r="27" s="92" customFormat="1" ht="7.900000095367432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</x:row>
    <x:row r="28" s="92" customFormat="1" ht="7.900000095367432" customHeight="1"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</x:row>
    <x:row r="29" s="92" customFormat="1" ht="7.900000095367432" customHeight="1"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</x:row>
    <x:row r="30" s="92" customFormat="1" ht="7.900000095367432" customHeight="1"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</x:row>
    <x:row r="31" s="92" customFormat="1" ht="7.900000095367432" customHeight="1"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</x:row>
    <x:row r="32" s="92" customFormat="1" ht="7.900000095367432" customHeight="1"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</x:row>
    <x:row r="33" s="92" customFormat="1" ht="7.900000095367432" customHeight="1"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</x:row>
    <x:row r="34" s="92" customFormat="1" ht="7.900000095367432" customHeight="1"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</x:row>
    <x:row r="35" s="92" customFormat="1" ht="7.900000095367432" customHeight="1"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</x:row>
    <x:row r="36" s="92" customFormat="1" ht="7.900000095367432" customHeight="1"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</x:row>
    <x:row r="37" s="92" customFormat="1" ht="7.900000095367432" customHeight="1"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</x:row>
    <x:row r="38" s="92" customFormat="1" ht="7.900000095367432" customHeight="1"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</x:row>
    <x:row r="39" s="92" customFormat="1" ht="7.900000095367432" customHeight="1"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</x:row>
    <x:row r="40" s="92" customFormat="1" ht="7.900000095367432" customHeight="1"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</x:row>
    <x:row r="41" s="92" customFormat="1" ht="7.900000095367432" customHeight="1"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</x:row>
    <x:row r="42" s="92" customFormat="1" ht="7.900000095367432" customHeight="1"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</x:row>
    <x:row r="43" s="92" customFormat="1" ht="7.900000095367432" customHeight="1"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</x:row>
    <x:row r="44" s="92" customFormat="1" ht="7.900000095367432" customHeight="1"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</x:row>
    <x:row r="45" s="92" customFormat="1" ht="7.900000095367432" customHeight="1"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</x:row>
    <x:row r="46" s="92" customFormat="1" ht="7.900000095367432" customHeight="1"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</x:row>
    <x:row r="47" s="92" customFormat="1" ht="7.900000095367432" customHeight="1"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</x:row>
    <x:row r="48" s="92" customFormat="1" ht="7.900000095367432" customHeight="1"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</x:row>
    <x:row r="49" s="92" customFormat="1" ht="7.900000095367432" customHeight="1"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</x:row>
    <x:row r="50" s="92" customFormat="1" ht="7.900000095367432" customHeight="1"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</x:row>
    <x:row r="51" s="92" customFormat="1" ht="7.900000095367432" customHeight="1"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</x:row>
    <x:row r="52" s="92" customFormat="1" ht="7.900000095367432" customHeight="1"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</x:row>
    <x:row r="53" s="92" customFormat="1" ht="7.900000095367432" customHeight="1"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</x:row>
    <x:row r="54" s="92" customFormat="1" ht="7.900000095367432" customHeight="1"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</x:row>
    <x:row r="55" s="92" customFormat="1" ht="7.900000095367432" customHeight="1"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</x:row>
    <x:row r="56" s="92" customFormat="1" ht="7.900000095367432" customHeight="1"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</x:row>
    <x:row r="57" s="92" customFormat="1" ht="7.900000095367432" customHeight="1"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</x:row>
    <x:row r="58" s="92" customFormat="1" ht="7.900000095367432" customHeight="1"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</x:row>
    <x:row r="59" s="92" customFormat="1" ht="7.900000095367432" customHeight="1"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</x:row>
    <x:row r="60" s="92" customFormat="1" ht="7.900000095367432" customHeight="1"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</x:row>
    <x:row r="61" s="92" customFormat="1" ht="7.900000095367432" customHeight="1"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</x:row>
    <x:row r="62" s="92" customFormat="1" ht="7.900000095367432" customHeight="1"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</x:row>
    <x:row r="63" s="92" customFormat="1" ht="7.900000095367432" customHeight="1"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</x:row>
    <x:row r="64" s="92" customFormat="1" ht="7.900000095367432" customHeight="1"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</x:row>
    <x:row r="65" s="92" customFormat="1" ht="7.900000095367432" customHeight="1"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</x:row>
    <x:row r="66" s="92" customFormat="1" ht="7.900000095367432" customHeight="1"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</x:row>
    <x:row r="67" s="92" customFormat="1" ht="7.900000095367432" customHeight="1"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</x:row>
    <x:row r="68" s="92" customFormat="1" ht="7.900000095367432" customHeight="1"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</x:row>
    <x:row r="69" s="92" customFormat="1" ht="7.900000095367432" customHeight="1"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</x:row>
    <x:row r="70" s="92" customFormat="1" ht="7.900000095367432" customHeight="1"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</x:row>
    <x:row r="71" s="92" customFormat="1" ht="7.900000095367432" customHeight="1"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</x:row>
    <x:row r="72" s="92" customFormat="1" ht="7.900000095367432" customHeight="1"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</x:row>
    <x:row r="73" s="92" customFormat="1" ht="7.900000095367432" customHeight="1"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</x:row>
    <x:row r="74" s="92" customFormat="1" ht="7.900000095367432" customHeight="1"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</x:row>
    <x:row r="75" s="92" customFormat="1" ht="7.900000095367432" customHeight="1"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</x:row>
    <x:row r="76" s="92" customFormat="1" ht="7.900000095367432" customHeight="1"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</x:row>
    <x:row r="77" s="92" customFormat="1" ht="7.900000095367432" customHeight="1"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</x:row>
    <x:row r="78" s="92" customFormat="1" ht="7.900000095367432" customHeight="1"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</x:row>
    <x:row r="79" s="92" customFormat="1" ht="7.900000095367432" customHeight="1"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</x:row>
    <x:row r="80" s="92" customFormat="1" ht="7.900000095367432" customHeight="1"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</x:row>
    <x:row r="81" s="92" customFormat="1" ht="7.900000095367432" customHeight="1"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</x:row>
    <x:row r="82" s="92" customFormat="1" ht="7.900000095367432" customHeight="1"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</x:row>
    <x:row r="83" s="92" customFormat="1" ht="7.900000095367432" customHeight="1"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</x:row>
    <x:row r="84" s="92" customFormat="1" ht="7.900000095367432" customHeight="1"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</x:row>
    <x:row r="85" s="92" customFormat="1" ht="7.900000095367432" customHeight="1"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</x:row>
    <x:row r="86" s="92" customFormat="1" ht="7.900000095367432" customHeight="1"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</x:row>
    <x:row r="87" s="92" customFormat="1" ht="7.900000095367432" customHeight="1"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</x:row>
    <x:row r="88" s="92" customFormat="1" ht="7.900000095367432" customHeight="1"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</x:row>
    <x:row r="89" s="92" customFormat="1" ht="7.900000095367432" customHeight="1"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</x:row>
    <x:row r="90" s="92" customFormat="1" ht="7.900000095367432" customHeight="1"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</x:row>
    <x:row r="91" s="92" customFormat="1" ht="7.900000095367432" customHeight="1"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</x:row>
    <x:row r="92" s="92" customFormat="1" ht="7.900000095367432" customHeight="1"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</x:row>
    <x:row r="93" s="92" customFormat="1" ht="7.900000095367432" customHeight="1"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</x:row>
    <x:row r="94" s="92" customFormat="1" ht="7.900000095367432" customHeight="1"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</x:row>
    <x:row r="95" s="92" customFormat="1" ht="7.900000095367432" customHeight="1"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</x:row>
    <x:row r="96" s="92" customFormat="1" ht="7.900000095367432" customHeight="1"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</x:row>
    <x:row r="97" s="92" customFormat="1" ht="7.900000095367432" customHeight="1"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</x:row>
    <x:row r="98" s="92" customFormat="1" ht="7.900000095367432" customHeight="1"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</x:row>
    <x:row r="99" s="92" customFormat="1" ht="7.900000095367432" customHeight="1"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</x:row>
    <x:row r="100" s="92" customFormat="1" ht="7.900000095367432" customHeight="1"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</x:row>
    <x:row r="101" s="92" customFormat="1" ht="7.900000095367432" customHeight="1"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</x:row>
    <x:row r="102" s="92" customFormat="1" ht="7.900000095367432" customHeight="1"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</x:row>
    <x:row r="103" s="92" customFormat="1" ht="7.900000095367432" customHeight="1"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</x:row>
    <x:row r="104" s="92" customFormat="1" ht="7.900000095367432" customHeight="1"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</x:row>
    <x:row r="105" s="92" customFormat="1" ht="7.900000095367432" customHeight="1"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</x:row>
    <x:row r="106" s="92" customFormat="1" ht="7.900000095367432" customHeight="1"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</x:row>
    <x:row r="107" s="92" customFormat="1" ht="7.900000095367432" customHeight="1"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</x:row>
    <x:row r="108" s="92" customFormat="1" ht="7.900000095367432" customHeight="1"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</x:row>
    <x:row r="109" s="92" customFormat="1" ht="7.900000095367432" customHeight="1"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</x:row>
    <x:row r="110" s="92" customFormat="1" ht="7.900000095367432" customHeight="1"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</x:row>
    <x:row r="111" s="92" customFormat="1" ht="7.900000095367432" customHeight="1"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</x:row>
    <x:row r="112" s="92" customFormat="1" ht="7.900000095367432" customHeight="1"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</x:row>
    <x:row r="113" s="92" customFormat="1" ht="7.900000095367432" customHeight="1"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</x:row>
    <x:row r="114" s="92" customFormat="1" ht="7.900000095367432" customHeight="1"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</x:row>
    <x:row r="115" s="92" customFormat="1" ht="7.900000095367432" customHeight="1"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</x:row>
    <x:row r="116" s="92" customFormat="1" ht="7.900000095367432" customHeight="1"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</x:row>
    <x:row r="117" s="92" customFormat="1" ht="7.900000095367432" customHeight="1"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</x:row>
    <x:row r="118" s="92" customFormat="1" ht="7.900000095367432" customHeight="1"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</x:row>
    <x:row r="119" s="92" customFormat="1" ht="7.900000095367432" customHeight="1"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</x:row>
    <x:row r="120" s="92" customFormat="1" ht="7.900000095367432" customHeight="1"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</x:row>
    <x:row r="121" s="92" customFormat="1" ht="7.900000095367432" customHeight="1"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</x:row>
    <x:row r="122" s="92" customFormat="1" ht="7.900000095367432" customHeight="1"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</x:row>
    <x:row r="123" s="92" customFormat="1" ht="7.900000095367432" customHeight="1"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</x:row>
    <x:row r="124" s="92" customFormat="1" ht="7.900000095367432" customHeight="1"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</x:row>
    <x:row r="125" s="92" customFormat="1" ht="7.900000095367432" customHeight="1"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</x:row>
    <x:row r="126" s="92" customFormat="1" ht="7.900000095367432" customHeight="1"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</x:row>
    <x:row r="127" s="92" customFormat="1" ht="7.900000095367432" customHeight="1"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</x:row>
    <x:row r="128" s="92" customFormat="1" ht="7.900000095367432" customHeight="1"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</x:row>
    <x:row r="129" s="92" customFormat="1" ht="7.900000095367432" customHeight="1"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</x:row>
    <x:row r="130" s="92" customFormat="1" ht="7.900000095367432" customHeight="1"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</x:row>
    <x:row r="131" s="92" customFormat="1" ht="7.900000095367432" customHeight="1"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</x:row>
    <x:row r="132" s="92" customFormat="1" ht="7.900000095367432" customHeight="1"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</x:row>
    <x:row r="133" s="92" customFormat="1" ht="7.900000095367432" customHeight="1"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</x:row>
    <x:row r="134" s="92" customFormat="1" ht="7.900000095367432" customHeight="1"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</x:row>
    <x:row r="135" s="92" customFormat="1" ht="7.900000095367432" customHeight="1"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</x:row>
    <x:row r="136" s="92" customFormat="1" ht="7.900000095367432" customHeight="1"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</x:row>
    <x:row r="137" s="92" customFormat="1" ht="7.900000095367432" customHeight="1"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</x:row>
    <x:row r="138" s="92" customFormat="1" ht="7.900000095367432" customHeight="1"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</x:row>
    <x:row r="139" s="92" customFormat="1" ht="7.900000095367432" customHeight="1"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</x:row>
    <x:row r="140" s="92" customFormat="1" ht="7.900000095367432" customHeight="1"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</x:row>
    <x:row r="141" s="92" customFormat="1" ht="7.900000095367432" customHeight="1"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</x:row>
    <x:row r="142" s="92" customFormat="1" ht="7.900000095367432" customHeight="1"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</x:row>
    <x:row r="143" s="92" customFormat="1" ht="7.900000095367432" customHeight="1"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</x:row>
    <x:row r="144" s="92" customFormat="1" ht="7.900000095367432" customHeight="1"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</x:row>
    <x:row r="145" s="92" customFormat="1" ht="7.900000095367432" customHeight="1"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</x:row>
    <x:row r="146" s="92" customFormat="1" ht="7.900000095367432" customHeight="1"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</x:row>
    <x:row r="147" s="92" customFormat="1" ht="7.900000095367432" customHeight="1"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</x:row>
    <x:row r="148" s="92" customFormat="1" ht="7.900000095367432" customHeight="1"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</x:row>
    <x:row r="149" s="92" customFormat="1" ht="7.900000095367432" customHeight="1"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</x:row>
    <x:row r="150" s="92" customFormat="1" ht="7.900000095367432" customHeight="1"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</x:row>
    <x:row r="151" s="92" customFormat="1" ht="7.900000095367432" customHeight="1"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</x:row>
    <x:row r="152" s="92" customFormat="1" ht="7.900000095367432" customHeight="1"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</x:row>
    <x:row r="153" s="92" customFormat="1" ht="7.900000095367432" customHeight="1"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</x:row>
    <x:row r="154" s="92" customFormat="1" ht="7.900000095367432" customHeight="1"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</x:row>
    <x:row r="155" s="92" customFormat="1" ht="7.900000095367432" customHeight="1"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</x:row>
    <x:row r="156" s="92" customFormat="1" ht="7.900000095367432" customHeight="1"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</x:row>
    <x:row r="157" s="92" customFormat="1" ht="7.900000095367432" customHeight="1"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</x:row>
    <x:row r="158" s="92" customFormat="1" ht="7.900000095367432" customHeight="1"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</x:row>
    <x:row r="159" s="92" customFormat="1" ht="7.900000095367432" customHeight="1"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</x:row>
    <x:row r="160" s="92" customFormat="1" ht="7.900000095367432" customHeight="1"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</x:row>
    <x:row r="161" s="92" customFormat="1" ht="7.900000095367432" customHeight="1"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</x:row>
    <x:row r="162" s="92" customFormat="1" ht="7.900000095367432" customHeight="1"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</x:row>
    <x:row r="163" s="92" customFormat="1" ht="7.900000095367432" customHeight="1"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</x:row>
    <x:row r="164" s="92" customFormat="1" ht="7.900000095367432" customHeight="1"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</x:row>
    <x:row r="165" s="92" customFormat="1" ht="7.900000095367432" customHeight="1"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</x:row>
    <x:row r="166" s="92" customFormat="1" ht="7.900000095367432" customHeight="1"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</x:row>
    <x:row r="167" s="92" customFormat="1" ht="7.900000095367432" customHeight="1"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</x:row>
    <x:row r="168" s="92" customFormat="1" ht="7.900000095367432" customHeight="1"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</x:row>
    <x:row r="169" s="92" customFormat="1" ht="7.900000095367432" customHeight="1"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</x:row>
    <x:row r="170" s="92" customFormat="1" ht="7.900000095367432" customHeight="1"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</x:row>
    <x:row r="171" s="92" customFormat="1" ht="7.900000095367432" customHeight="1"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</x:row>
    <x:row r="172" s="92" customFormat="1" ht="7.900000095367432" customHeight="1"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</x:row>
    <x:row r="173" s="92" customFormat="1" ht="7.900000095367432" customHeight="1"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</x:row>
    <x:row r="174" s="92" customFormat="1" ht="7.900000095367432" customHeight="1"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</x:row>
    <x:row r="175" s="92" customFormat="1" ht="7.900000095367432" customHeight="1"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</x:row>
    <x:row r="176" s="92" customFormat="1" ht="7.900000095367432" customHeight="1"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</x:row>
    <x:row r="177" s="92" customFormat="1" ht="7.900000095367432" customHeight="1"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</x:row>
    <x:row r="178" s="92" customFormat="1" ht="7.900000095367432" customHeight="1"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</x:row>
    <x:row r="179" s="92" customFormat="1" ht="7.900000095367432" customHeight="1"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</x:row>
    <x:row r="180" s="92" customFormat="1" ht="7.900000095367432" customHeight="1"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</x:row>
    <x:row r="181" s="92" customFormat="1" ht="7.900000095367432" customHeight="1"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</x:row>
    <x:row r="182" s="92" customFormat="1" ht="7.900000095367432" customHeight="1"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</x:row>
    <x:row r="183" s="92" customFormat="1" ht="7.900000095367432" customHeight="1"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</x:row>
    <x:row r="184" s="92" customFormat="1" ht="7.900000095367432" customHeight="1"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</x:row>
    <x:row r="185" s="92" customFormat="1" ht="7.900000095367432" customHeight="1"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</x:row>
    <x:row r="186" s="92" customFormat="1" ht="7.900000095367432" customHeight="1"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</x:row>
    <x:row r="187" s="92" customFormat="1" ht="7.900000095367432" customHeight="1"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</x:row>
    <x:row r="188" s="92" customFormat="1" ht="7.900000095367432" customHeight="1"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</x:row>
    <x:row r="189" s="92" customFormat="1" ht="7.900000095367432" customHeight="1"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</x:row>
    <x:row r="190" s="92" customFormat="1" ht="7.900000095367432" customHeight="1"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</x:row>
    <x:row r="191" s="92" customFormat="1" ht="7.900000095367432" customHeight="1"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</x:row>
    <x:row r="192" s="92" customFormat="1" ht="7.900000095367432" customHeight="1"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</x:row>
    <x:row r="193" s="92" customFormat="1" ht="7.900000095367432" customHeight="1"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</x:row>
    <x:row r="194" s="92" customFormat="1" ht="7.900000095367432" customHeight="1"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</x:row>
    <x:row r="195" s="92" customFormat="1" ht="7.900000095367432" customHeight="1"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</x:row>
    <x:row r="196" s="92" customFormat="1" ht="7.900000095367432" customHeight="1"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</x:row>
    <x:row r="197" s="92" customFormat="1" ht="7.900000095367432" customHeight="1"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</x:row>
    <x:row r="198" s="92" customFormat="1" ht="7.900000095367432" customHeight="1"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</x:row>
    <x:row r="199" s="92" customFormat="1" ht="7.900000095367432" customHeight="1"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</x:row>
    <x:row r="200" s="92" customFormat="1" ht="7.900000095367432" customHeight="1"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</x:row>
    <x:row r="201" s="92" customFormat="1" ht="7.900000095367432" customHeight="1"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</x:row>
    <x:row r="202" s="92" customFormat="1" ht="7.900000095367432" customHeight="1"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</x:row>
    <x:row r="203" s="92" customFormat="1" ht="7.900000095367432" customHeight="1"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</x:row>
    <x:row r="204" s="92" customFormat="1" ht="7.900000095367432" customHeight="1"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</x:row>
    <x:row r="205" s="92" customFormat="1" ht="7.900000095367432" customHeight="1"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</x:row>
    <x:row r="206" s="92" customFormat="1" ht="7.900000095367432" customHeight="1"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</x:row>
    <x:row r="207" s="92" customFormat="1" ht="7.900000095367432" customHeight="1"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</x:row>
    <x:row r="208" s="92" customFormat="1" ht="7.900000095367432" customHeight="1"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</x:row>
    <x:row r="209" s="92" customFormat="1" ht="7.900000095367432" customHeight="1"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</x:row>
    <x:row r="210" s="92" customFormat="1" ht="7.900000095367432" customHeight="1"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</x:row>
    <x:row r="211" s="92" customFormat="1" ht="7.900000095367432" customHeight="1"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</x:row>
    <x:row r="212" s="92" customFormat="1" ht="7.900000095367432" customHeight="1"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</x:row>
    <x:row r="213" s="92" customFormat="1" ht="7.900000095367432" customHeight="1"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</x:row>
    <x:row r="214" s="92" customFormat="1" ht="7.900000095367432" customHeight="1"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</x:row>
    <x:row r="215" s="92" customFormat="1" ht="7.900000095367432" customHeight="1"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</x:row>
    <x:row r="216" s="92" customFormat="1" ht="7.900000095367432" customHeight="1"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</x:row>
    <x:row r="217" s="92" customFormat="1" ht="7.900000095367432" customHeight="1"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</x:row>
    <x:row r="218" s="92" customFormat="1" ht="7.900000095367432" customHeight="1"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</x:row>
    <x:row r="219" s="92" customFormat="1" ht="7.900000095367432" customHeight="1"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</x:row>
    <x:row r="220" s="92" customFormat="1" ht="7.900000095367432" customHeight="1"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</x:row>
    <x:row r="221" s="92" customFormat="1" ht="7.900000095367432" customHeight="1"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</x:row>
    <x:row r="222" s="92" customFormat="1" ht="7.900000095367432" customHeight="1"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</x:row>
    <x:row r="223" s="92" customFormat="1" ht="7.900000095367432" customHeight="1"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</x:row>
    <x:row r="224" s="92" customFormat="1" ht="7.900000095367432" customHeight="1"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</x:row>
    <x:row r="225" s="92" customFormat="1" ht="7.900000095367432" customHeight="1"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</x:row>
    <x:row r="226" s="92" customFormat="1" ht="7.900000095367432" customHeight="1"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</x:row>
    <x:row r="227" s="92" customFormat="1" ht="7.900000095367432" customHeight="1"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</x:row>
    <x:row r="228" s="92" customFormat="1" ht="7.900000095367432" customHeight="1"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</x:row>
    <x:row r="229" s="92" customFormat="1" ht="7.900000095367432" customHeight="1"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</x:row>
    <x:row r="230" s="92" customFormat="1" ht="7.900000095367432" customHeight="1"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</x:row>
    <x:row r="231" s="92" customFormat="1" ht="7.900000095367432" customHeight="1"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</x:row>
    <x:row r="232" s="92" customFormat="1" ht="7.900000095367432" customHeight="1"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</x:row>
    <x:row r="233" s="92" customFormat="1" ht="7.900000095367432" customHeight="1"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</x:row>
    <x:row r="234" s="92" customFormat="1" ht="7.900000095367432" customHeight="1"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</x:row>
    <x:row r="235" s="92" customFormat="1" ht="7.900000095367432" customHeight="1"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</x:row>
    <x:row r="236" s="92" customFormat="1" ht="7.900000095367432" customHeight="1"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</x:row>
    <x:row r="237" s="92" customFormat="1" ht="7.900000095367432" customHeight="1"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</x:row>
    <x:row r="238" s="92" customFormat="1" ht="7.900000095367432" customHeight="1"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</x:row>
    <x:row r="239" s="92" customFormat="1" ht="7.900000095367432" customHeight="1"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</x:row>
    <x:row r="240" s="92" customFormat="1" ht="7.900000095367432" customHeight="1"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</x:row>
    <x:row r="241" s="92" customFormat="1" ht="7.900000095367432" customHeight="1"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</x:row>
    <x:row r="242" s="92" customFormat="1" ht="7.900000095367432" customHeight="1"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</x:row>
    <x:row r="243" s="92" customFormat="1" ht="7.900000095367432" customHeight="1"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</x:row>
    <x:row r="244" s="92" customFormat="1" ht="7.900000095367432" customHeight="1"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</x:row>
    <x:row r="245" s="92" customFormat="1" ht="7.900000095367432" customHeight="1"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</x:row>
    <x:row r="246" s="92" customFormat="1" ht="7.900000095367432" customHeight="1"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</x:row>
    <x:row r="247" s="92" customFormat="1" ht="7.900000095367432" customHeight="1"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</x:row>
    <x:row r="248" s="92" customFormat="1" ht="7.900000095367432" customHeight="1"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</x:row>
    <x:row r="249" s="92" customFormat="1" ht="7.900000095367432" customHeight="1"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</x:row>
    <x:row r="250" s="92" customFormat="1" ht="7.900000095367432" customHeight="1"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</x:row>
    <x:row r="251" s="92" customFormat="1" ht="7.900000095367432" customHeight="1">
      <x:c r="B251" s="93"/>
      <x:c r="C251" s="93"/>
      <x:c r="D251" s="93"/>
      <x:c r="E251" s="93"/>
      <x:c r="F251" s="93"/>
      <x:c r="G251" s="93"/>
      <x:c r="H251" s="93"/>
      <x:c r="I251" s="93"/>
      <x:c r="J251" s="93"/>
      <x:c r="K251" s="93"/>
    </x:row>
    <x:row r="252" s="92" customFormat="1" ht="7.900000095367432" customHeight="1">
      <x:c r="B252" s="93"/>
      <x:c r="C252" s="93"/>
      <x:c r="D252" s="93"/>
      <x:c r="E252" s="93"/>
      <x:c r="F252" s="93"/>
      <x:c r="G252" s="93"/>
      <x:c r="H252" s="93"/>
      <x:c r="I252" s="93"/>
      <x:c r="J252" s="93"/>
      <x:c r="K252" s="93"/>
    </x:row>
    <x:row r="253" s="92" customFormat="1" ht="7.900000095367432" customHeight="1">
      <x:c r="B253" s="93"/>
      <x:c r="C253" s="93"/>
      <x:c r="D253" s="93"/>
      <x:c r="E253" s="93"/>
      <x:c r="F253" s="93"/>
      <x:c r="G253" s="93"/>
      <x:c r="H253" s="93"/>
      <x:c r="I253" s="93"/>
      <x:c r="J253" s="93"/>
      <x:c r="K253" s="93"/>
    </x:row>
    <x:row r="254" s="92" customFormat="1" ht="7.900000095367432" customHeight="1">
      <x:c r="B254" s="93"/>
      <x:c r="C254" s="93"/>
      <x:c r="D254" s="93"/>
      <x:c r="E254" s="93"/>
      <x:c r="F254" s="93"/>
      <x:c r="G254" s="93"/>
      <x:c r="H254" s="93"/>
      <x:c r="I254" s="93"/>
      <x:c r="J254" s="93"/>
      <x:c r="K254" s="93"/>
    </x:row>
    <x:row r="255" s="92" customFormat="1" ht="7.900000095367432" customHeight="1">
      <x:c r="B255" s="93"/>
      <x:c r="C255" s="93"/>
      <x:c r="D255" s="93"/>
      <x:c r="E255" s="93"/>
      <x:c r="F255" s="93"/>
      <x:c r="G255" s="93"/>
      <x:c r="H255" s="93"/>
      <x:c r="I255" s="93"/>
      <x:c r="J255" s="93"/>
      <x:c r="K255" s="93"/>
    </x:row>
    <x:row r="256" s="92" customFormat="1" ht="7.900000095367432" customHeight="1">
      <x:c r="B256" s="93"/>
      <x:c r="C256" s="93"/>
      <x:c r="D256" s="93"/>
      <x:c r="E256" s="93"/>
      <x:c r="F256" s="93"/>
      <x:c r="G256" s="93"/>
      <x:c r="H256" s="93"/>
      <x:c r="I256" s="93"/>
      <x:c r="J256" s="93"/>
      <x:c r="K256" s="93"/>
    </x:row>
    <x:row r="257" s="92" customFormat="1" ht="7.900000095367432" customHeight="1">
      <x:c r="B257" s="93"/>
      <x:c r="C257" s="93"/>
      <x:c r="D257" s="93"/>
      <x:c r="E257" s="93"/>
      <x:c r="F257" s="93"/>
      <x:c r="G257" s="93"/>
      <x:c r="H257" s="93"/>
      <x:c r="I257" s="93"/>
      <x:c r="J257" s="93"/>
      <x:c r="K257" s="93"/>
    </x:row>
    <x:row r="258" s="92" customFormat="1" ht="7.900000095367432" customHeight="1">
      <x:c r="B258" s="93"/>
      <x:c r="C258" s="93"/>
      <x:c r="D258" s="93"/>
      <x:c r="E258" s="93"/>
      <x:c r="F258" s="93"/>
      <x:c r="G258" s="93"/>
      <x:c r="H258" s="93"/>
      <x:c r="I258" s="93"/>
      <x:c r="J258" s="93"/>
      <x:c r="K258" s="93"/>
    </x:row>
    <x:row r="259" s="92" customFormat="1" ht="7.900000095367432" customHeight="1">
      <x:c r="B259" s="93"/>
      <x:c r="C259" s="93"/>
      <x:c r="D259" s="93"/>
      <x:c r="E259" s="93"/>
      <x:c r="F259" s="93"/>
      <x:c r="G259" s="93"/>
      <x:c r="H259" s="93"/>
      <x:c r="I259" s="93"/>
      <x:c r="J259" s="93"/>
      <x:c r="K259" s="93"/>
    </x:row>
    <x:row r="260" s="92" customFormat="1" ht="7.900000095367432" customHeight="1">
      <x:c r="B260" s="93"/>
      <x:c r="C260" s="93"/>
      <x:c r="D260" s="93"/>
      <x:c r="E260" s="93"/>
      <x:c r="F260" s="93"/>
      <x:c r="G260" s="93"/>
      <x:c r="H260" s="93"/>
      <x:c r="I260" s="93"/>
      <x:c r="J260" s="93"/>
      <x:c r="K260" s="93"/>
    </x:row>
    <x:row r="261" s="92" customFormat="1" ht="7.900000095367432" customHeight="1">
      <x:c r="B261" s="93"/>
      <x:c r="C261" s="93"/>
      <x:c r="D261" s="93"/>
      <x:c r="E261" s="93"/>
      <x:c r="F261" s="93"/>
      <x:c r="G261" s="93"/>
      <x:c r="H261" s="93"/>
      <x:c r="I261" s="93"/>
      <x:c r="J261" s="93"/>
      <x:c r="K261" s="93"/>
    </x:row>
    <x:row r="262" s="92" customFormat="1" ht="7.900000095367432" customHeight="1">
      <x:c r="B262" s="93"/>
      <x:c r="C262" s="93"/>
      <x:c r="D262" s="93"/>
      <x:c r="E262" s="93"/>
      <x:c r="F262" s="93"/>
      <x:c r="G262" s="93"/>
      <x:c r="H262" s="93"/>
      <x:c r="I262" s="93"/>
      <x:c r="J262" s="93"/>
      <x:c r="K262" s="93"/>
    </x:row>
    <x:row r="263" s="92" customFormat="1" ht="7.900000095367432" customHeight="1">
      <x:c r="B263" s="93"/>
      <x:c r="C263" s="93"/>
      <x:c r="D263" s="93"/>
      <x:c r="E263" s="93"/>
      <x:c r="F263" s="93"/>
      <x:c r="G263" s="93"/>
      <x:c r="H263" s="93"/>
      <x:c r="I263" s="93"/>
      <x:c r="J263" s="93"/>
      <x:c r="K263" s="93"/>
    </x:row>
    <x:row r="264" s="92" customFormat="1" ht="7.900000095367432" customHeight="1">
      <x:c r="B264" s="93"/>
      <x:c r="C264" s="93"/>
      <x:c r="D264" s="93"/>
      <x:c r="E264" s="93"/>
      <x:c r="F264" s="93"/>
      <x:c r="G264" s="93"/>
      <x:c r="H264" s="93"/>
      <x:c r="I264" s="93"/>
      <x:c r="J264" s="93"/>
      <x:c r="K264" s="93"/>
    </x:row>
    <x:row r="265" s="92" customFormat="1" ht="7.900000095367432" customHeight="1">
      <x:c r="B265" s="93"/>
      <x:c r="C265" s="93"/>
      <x:c r="D265" s="93"/>
      <x:c r="E265" s="93"/>
      <x:c r="F265" s="93"/>
      <x:c r="G265" s="93"/>
      <x:c r="H265" s="93"/>
      <x:c r="I265" s="93"/>
      <x:c r="J265" s="93"/>
      <x:c r="K265" s="93"/>
    </x:row>
    <x:row r="266" s="92" customFormat="1" ht="7.900000095367432" customHeight="1">
      <x:c r="B266" s="93"/>
      <x:c r="C266" s="93"/>
      <x:c r="D266" s="93"/>
      <x:c r="E266" s="93"/>
      <x:c r="F266" s="93"/>
      <x:c r="G266" s="93"/>
      <x:c r="H266" s="93"/>
      <x:c r="I266" s="93"/>
      <x:c r="J266" s="93"/>
      <x:c r="K266" s="93"/>
    </x:row>
    <x:row r="267" s="92" customFormat="1" ht="7.900000095367432" customHeight="1">
      <x:c r="B267" s="93"/>
      <x:c r="C267" s="93"/>
      <x:c r="D267" s="93"/>
      <x:c r="E267" s="93"/>
      <x:c r="F267" s="93"/>
      <x:c r="G267" s="93"/>
      <x:c r="H267" s="93"/>
      <x:c r="I267" s="93"/>
      <x:c r="J267" s="93"/>
      <x:c r="K267" s="93"/>
    </x:row>
    <x:row r="268" s="92" customFormat="1" ht="7.900000095367432" customHeight="1">
      <x:c r="B268" s="93"/>
      <x:c r="C268" s="93"/>
      <x:c r="D268" s="93"/>
      <x:c r="E268" s="93"/>
      <x:c r="F268" s="93"/>
      <x:c r="G268" s="93"/>
      <x:c r="H268" s="93"/>
      <x:c r="I268" s="93"/>
      <x:c r="J268" s="93"/>
      <x:c r="K268" s="93"/>
    </x:row>
    <x:row r="269" s="92" customFormat="1" ht="7.900000095367432" customHeight="1">
      <x:c r="B269" s="93"/>
      <x:c r="C269" s="93"/>
      <x:c r="D269" s="93"/>
      <x:c r="E269" s="93"/>
      <x:c r="F269" s="93"/>
      <x:c r="G269" s="93"/>
      <x:c r="H269" s="93"/>
      <x:c r="I269" s="93"/>
      <x:c r="J269" s="93"/>
      <x:c r="K269" s="93"/>
    </x:row>
    <x:row r="270" s="92" customFormat="1" ht="7.900000095367432" customHeight="1">
      <x:c r="B270" s="93"/>
      <x:c r="C270" s="93"/>
      <x:c r="D270" s="93"/>
      <x:c r="E270" s="93"/>
      <x:c r="F270" s="93"/>
      <x:c r="G270" s="93"/>
      <x:c r="H270" s="93"/>
      <x:c r="I270" s="93"/>
      <x:c r="J270" s="93"/>
      <x:c r="K270" s="93"/>
    </x:row>
    <x:row r="271" s="92" customFormat="1" ht="7.900000095367432" customHeight="1">
      <x:c r="B271" s="93"/>
      <x:c r="C271" s="93"/>
      <x:c r="D271" s="93"/>
      <x:c r="E271" s="93"/>
      <x:c r="F271" s="93"/>
      <x:c r="G271" s="93"/>
      <x:c r="H271" s="93"/>
      <x:c r="I271" s="93"/>
      <x:c r="J271" s="93"/>
      <x:c r="K271" s="93"/>
    </x:row>
    <x:row r="272" s="92" customFormat="1" ht="7.900000095367432" customHeight="1">
      <x:c r="B272" s="93"/>
      <x:c r="C272" s="93"/>
      <x:c r="D272" s="93"/>
      <x:c r="E272" s="93"/>
      <x:c r="F272" s="93"/>
      <x:c r="G272" s="93"/>
      <x:c r="H272" s="93"/>
      <x:c r="I272" s="93"/>
      <x:c r="J272" s="93"/>
      <x:c r="K272" s="93"/>
    </x:row>
    <x:row r="273" s="92" customFormat="1" ht="7.900000095367432" customHeight="1">
      <x:c r="B273" s="93"/>
      <x:c r="C273" s="93"/>
      <x:c r="D273" s="93"/>
      <x:c r="E273" s="93"/>
      <x:c r="F273" s="93"/>
      <x:c r="G273" s="93"/>
      <x:c r="H273" s="93"/>
      <x:c r="I273" s="93"/>
      <x:c r="J273" s="93"/>
      <x:c r="K273" s="93"/>
    </x:row>
    <x:row r="274" s="92" customFormat="1" ht="7.900000095367432" customHeight="1">
      <x:c r="B274" s="93"/>
      <x:c r="C274" s="93"/>
      <x:c r="D274" s="93"/>
      <x:c r="E274" s="93"/>
      <x:c r="F274" s="93"/>
      <x:c r="G274" s="93"/>
      <x:c r="H274" s="93"/>
      <x:c r="I274" s="93"/>
      <x:c r="J274" s="93"/>
      <x:c r="K274" s="93"/>
    </x:row>
    <x:row r="275" s="92" customFormat="1" ht="7.900000095367432" customHeight="1">
      <x:c r="B275" s="93"/>
      <x:c r="C275" s="93"/>
      <x:c r="D275" s="93"/>
      <x:c r="E275" s="93"/>
      <x:c r="F275" s="93"/>
      <x:c r="G275" s="93"/>
      <x:c r="H275" s="93"/>
      <x:c r="I275" s="93"/>
      <x:c r="J275" s="93"/>
      <x:c r="K275" s="93"/>
    </x:row>
    <x:row r="276" s="92" customFormat="1" ht="7.900000095367432" customHeight="1">
      <x:c r="B276" s="93"/>
      <x:c r="C276" s="93"/>
      <x:c r="D276" s="93"/>
      <x:c r="E276" s="93"/>
      <x:c r="F276" s="93"/>
      <x:c r="G276" s="93"/>
      <x:c r="H276" s="93"/>
      <x:c r="I276" s="93"/>
      <x:c r="J276" s="93"/>
      <x:c r="K276" s="93"/>
    </x:row>
    <x:row r="277" s="92" customFormat="1" ht="7.900000095367432" customHeight="1">
      <x:c r="B277" s="93"/>
      <x:c r="C277" s="93"/>
      <x:c r="D277" s="93"/>
      <x:c r="E277" s="93"/>
      <x:c r="F277" s="93"/>
      <x:c r="G277" s="93"/>
      <x:c r="H277" s="93"/>
      <x:c r="I277" s="93"/>
      <x:c r="J277" s="93"/>
      <x:c r="K277" s="93"/>
    </x:row>
    <x:row r="278" s="92" customFormat="1" ht="7.900000095367432" customHeight="1">
      <x:c r="B278" s="93"/>
      <x:c r="C278" s="93"/>
      <x:c r="D278" s="93"/>
      <x:c r="E278" s="93"/>
      <x:c r="F278" s="93"/>
      <x:c r="G278" s="93"/>
      <x:c r="H278" s="93"/>
      <x:c r="I278" s="93"/>
      <x:c r="J278" s="93"/>
      <x:c r="K278" s="93"/>
    </x:row>
    <x:row r="279" s="92" customFormat="1" ht="7.900000095367432" customHeight="1">
      <x:c r="B279" s="93"/>
      <x:c r="C279" s="93"/>
      <x:c r="D279" s="93"/>
      <x:c r="E279" s="93"/>
      <x:c r="F279" s="93"/>
      <x:c r="G279" s="93"/>
      <x:c r="H279" s="93"/>
      <x:c r="I279" s="93"/>
      <x:c r="J279" s="93"/>
      <x:c r="K279" s="93"/>
    </x:row>
    <x:row r="280" s="92" customFormat="1" ht="7.900000095367432" customHeight="1">
      <x:c r="B280" s="93"/>
      <x:c r="C280" s="93"/>
      <x:c r="D280" s="93"/>
      <x:c r="E280" s="93"/>
      <x:c r="F280" s="93"/>
      <x:c r="G280" s="93"/>
      <x:c r="H280" s="93"/>
      <x:c r="I280" s="93"/>
      <x:c r="J280" s="93"/>
      <x:c r="K280" s="93"/>
    </x:row>
    <x:row r="281" s="92" customFormat="1" ht="7.900000095367432" customHeight="1">
      <x:c r="B281" s="93"/>
      <x:c r="C281" s="93"/>
      <x:c r="D281" s="93"/>
      <x:c r="E281" s="93"/>
      <x:c r="F281" s="93"/>
      <x:c r="G281" s="93"/>
      <x:c r="H281" s="93"/>
      <x:c r="I281" s="93"/>
      <x:c r="J281" s="93"/>
      <x:c r="K281" s="93"/>
    </x:row>
    <x:row r="282" s="92" customFormat="1" ht="7.900000095367432" customHeight="1">
      <x:c r="B282" s="93"/>
      <x:c r="C282" s="93"/>
      <x:c r="D282" s="93"/>
      <x:c r="E282" s="93"/>
      <x:c r="F282" s="93"/>
      <x:c r="G282" s="93"/>
      <x:c r="H282" s="93"/>
      <x:c r="I282" s="93"/>
      <x:c r="J282" s="93"/>
      <x:c r="K282" s="93"/>
    </x:row>
    <x:row r="283" s="92" customFormat="1" ht="7.900000095367432" customHeight="1">
      <x:c r="B283" s="93"/>
      <x:c r="C283" s="93"/>
      <x:c r="D283" s="93"/>
      <x:c r="E283" s="93"/>
      <x:c r="F283" s="93"/>
      <x:c r="G283" s="93"/>
      <x:c r="H283" s="93"/>
      <x:c r="I283" s="93"/>
      <x:c r="J283" s="93"/>
      <x:c r="K283" s="93"/>
    </x:row>
    <x:row r="284" s="92" customFormat="1" ht="7.900000095367432" customHeight="1">
      <x:c r="B284" s="93"/>
      <x:c r="C284" s="93"/>
      <x:c r="D284" s="93"/>
      <x:c r="E284" s="93"/>
      <x:c r="F284" s="93"/>
      <x:c r="G284" s="93"/>
      <x:c r="H284" s="93"/>
      <x:c r="I284" s="93"/>
      <x:c r="J284" s="93"/>
      <x:c r="K284" s="93"/>
    </x:row>
    <x:row r="285" s="92" customFormat="1" ht="7.900000095367432" customHeight="1">
      <x:c r="B285" s="93"/>
      <x:c r="C285" s="93"/>
      <x:c r="D285" s="93"/>
      <x:c r="E285" s="93"/>
      <x:c r="F285" s="93"/>
      <x:c r="G285" s="93"/>
      <x:c r="H285" s="93"/>
      <x:c r="I285" s="93"/>
      <x:c r="J285" s="93"/>
      <x:c r="K285" s="93"/>
    </x:row>
    <x:row r="286" s="92" customFormat="1" ht="7.900000095367432" customHeight="1">
      <x:c r="B286" s="93"/>
      <x:c r="C286" s="93"/>
      <x:c r="D286" s="93"/>
      <x:c r="E286" s="93"/>
      <x:c r="F286" s="93"/>
      <x:c r="G286" s="93"/>
      <x:c r="H286" s="93"/>
      <x:c r="I286" s="93"/>
      <x:c r="J286" s="93"/>
      <x:c r="K286" s="93"/>
    </x:row>
    <x:row r="287" s="92" customFormat="1" ht="7.900000095367432" customHeight="1">
      <x:c r="B287" s="93"/>
      <x:c r="C287" s="93"/>
      <x:c r="D287" s="93"/>
      <x:c r="E287" s="93"/>
      <x:c r="F287" s="93"/>
      <x:c r="G287" s="93"/>
      <x:c r="H287" s="93"/>
      <x:c r="I287" s="93"/>
      <x:c r="J287" s="93"/>
      <x:c r="K287" s="93"/>
    </x:row>
    <x:row r="288" s="92" customFormat="1" ht="7.900000095367432" customHeight="1">
      <x:c r="B288" s="93"/>
      <x:c r="C288" s="93"/>
      <x:c r="D288" s="93"/>
      <x:c r="E288" s="93"/>
      <x:c r="F288" s="93"/>
      <x:c r="G288" s="93"/>
      <x:c r="H288" s="93"/>
      <x:c r="I288" s="93"/>
      <x:c r="J288" s="93"/>
      <x:c r="K288" s="93"/>
    </x:row>
    <x:row r="289" s="92" customFormat="1" ht="7.900000095367432" customHeight="1">
      <x:c r="B289" s="93"/>
      <x:c r="C289" s="93"/>
      <x:c r="D289" s="93"/>
      <x:c r="E289" s="93"/>
      <x:c r="F289" s="93"/>
      <x:c r="G289" s="93"/>
      <x:c r="H289" s="93"/>
      <x:c r="I289" s="93"/>
      <x:c r="J289" s="93"/>
      <x:c r="K289" s="93"/>
    </x:row>
    <x:row r="290" s="92" customFormat="1" ht="7.900000095367432" customHeight="1">
      <x:c r="B290" s="93"/>
      <x:c r="C290" s="93"/>
      <x:c r="D290" s="93"/>
      <x:c r="E290" s="93"/>
      <x:c r="F290" s="93"/>
      <x:c r="G290" s="93"/>
      <x:c r="H290" s="93"/>
      <x:c r="I290" s="93"/>
      <x:c r="J290" s="93"/>
      <x:c r="K290" s="93"/>
    </x:row>
    <x:row r="291" s="92" customFormat="1" ht="7.900000095367432" customHeight="1">
      <x:c r="B291" s="93"/>
      <x:c r="C291" s="93"/>
      <x:c r="D291" s="93"/>
      <x:c r="E291" s="93"/>
      <x:c r="F291" s="93"/>
      <x:c r="G291" s="93"/>
      <x:c r="H291" s="93"/>
      <x:c r="I291" s="93"/>
      <x:c r="J291" s="93"/>
      <x:c r="K291" s="93"/>
    </x:row>
    <x:row r="292" s="92" customFormat="1" ht="7.900000095367432" customHeight="1">
      <x:c r="B292" s="93"/>
      <x:c r="C292" s="93"/>
      <x:c r="D292" s="93"/>
      <x:c r="E292" s="93"/>
      <x:c r="F292" s="93"/>
      <x:c r="G292" s="93"/>
      <x:c r="H292" s="93"/>
      <x:c r="I292" s="93"/>
      <x:c r="J292" s="93"/>
      <x:c r="K292" s="93"/>
    </x:row>
    <x:row r="293" s="92" customFormat="1" ht="7.900000095367432" customHeight="1">
      <x:c r="B293" s="93"/>
      <x:c r="C293" s="93"/>
      <x:c r="D293" s="93"/>
      <x:c r="E293" s="93"/>
      <x:c r="F293" s="93"/>
      <x:c r="G293" s="93"/>
      <x:c r="H293" s="93"/>
      <x:c r="I293" s="93"/>
      <x:c r="J293" s="93"/>
      <x:c r="K293" s="93"/>
    </x:row>
    <x:row r="294" s="92" customFormat="1" ht="7.900000095367432" customHeight="1">
      <x:c r="B294" s="93"/>
      <x:c r="C294" s="93"/>
      <x:c r="D294" s="93"/>
      <x:c r="E294" s="93"/>
      <x:c r="F294" s="93"/>
      <x:c r="G294" s="93"/>
      <x:c r="H294" s="93"/>
      <x:c r="I294" s="93"/>
      <x:c r="J294" s="93"/>
      <x:c r="K294" s="93"/>
    </x:row>
    <x:row r="295" s="92" customFormat="1" ht="7.900000095367432" customHeight="1">
      <x:c r="B295" s="93"/>
      <x:c r="C295" s="93"/>
      <x:c r="D295" s="93"/>
      <x:c r="E295" s="93"/>
      <x:c r="F295" s="93"/>
      <x:c r="G295" s="93"/>
      <x:c r="H295" s="93"/>
      <x:c r="I295" s="93"/>
      <x:c r="J295" s="93"/>
      <x:c r="K295" s="93"/>
    </x:row>
    <x:row r="296" s="92" customFormat="1" ht="7.900000095367432" customHeight="1">
      <x:c r="B296" s="93"/>
      <x:c r="C296" s="93"/>
      <x:c r="D296" s="93"/>
      <x:c r="E296" s="93"/>
      <x:c r="F296" s="93"/>
      <x:c r="G296" s="93"/>
      <x:c r="H296" s="93"/>
      <x:c r="I296" s="93"/>
      <x:c r="J296" s="93"/>
      <x:c r="K296" s="93"/>
    </x:row>
    <x:row r="297" s="92" customFormat="1" ht="7.900000095367432" customHeight="1">
      <x:c r="B297" s="93"/>
      <x:c r="C297" s="93"/>
      <x:c r="D297" s="93"/>
      <x:c r="E297" s="93"/>
      <x:c r="F297" s="93"/>
      <x:c r="G297" s="93"/>
      <x:c r="H297" s="93"/>
      <x:c r="I297" s="93"/>
      <x:c r="J297" s="93"/>
      <x:c r="K297" s="93"/>
    </x:row>
    <x:row r="298" s="92" customFormat="1" ht="7.900000095367432" customHeight="1">
      <x:c r="B298" s="93"/>
      <x:c r="C298" s="93"/>
      <x:c r="D298" s="93"/>
      <x:c r="E298" s="93"/>
      <x:c r="F298" s="93"/>
      <x:c r="G298" s="93"/>
      <x:c r="H298" s="93"/>
      <x:c r="I298" s="93"/>
      <x:c r="J298" s="93"/>
      <x:c r="K298" s="93"/>
    </x:row>
    <x:row r="299" s="92" customFormat="1" ht="7.900000095367432" customHeight="1">
      <x:c r="B299" s="93"/>
      <x:c r="C299" s="93"/>
      <x:c r="D299" s="93"/>
      <x:c r="E299" s="93"/>
      <x:c r="F299" s="93"/>
      <x:c r="G299" s="93"/>
      <x:c r="H299" s="93"/>
      <x:c r="I299" s="93"/>
      <x:c r="J299" s="93"/>
      <x:c r="K299" s="93"/>
    </x:row>
    <x:row r="300" s="92" customFormat="1" ht="7.900000095367432" customHeight="1">
      <x:c r="B300" s="93"/>
      <x:c r="C300" s="93"/>
      <x:c r="D300" s="93"/>
      <x:c r="E300" s="93"/>
      <x:c r="F300" s="93"/>
      <x:c r="G300" s="93"/>
      <x:c r="H300" s="93"/>
      <x:c r="I300" s="93"/>
      <x:c r="J300" s="93"/>
      <x:c r="K300" s="93"/>
    </x:row>
    <x:row r="301" s="92" customFormat="1" ht="7.900000095367432" customHeight="1">
      <x:c r="B301" s="93"/>
      <x:c r="C301" s="93"/>
      <x:c r="D301" s="93"/>
      <x:c r="E301" s="93"/>
      <x:c r="F301" s="93"/>
      <x:c r="G301" s="93"/>
      <x:c r="H301" s="93"/>
      <x:c r="I301" s="93"/>
      <x:c r="J301" s="93"/>
      <x:c r="K301" s="93"/>
    </x:row>
    <x:row r="302" s="92" customFormat="1" ht="7.900000095367432" customHeight="1">
      <x:c r="B302" s="93"/>
      <x:c r="C302" s="93"/>
      <x:c r="D302" s="93"/>
      <x:c r="E302" s="93"/>
      <x:c r="F302" s="93"/>
      <x:c r="G302" s="93"/>
      <x:c r="H302" s="93"/>
      <x:c r="I302" s="93"/>
      <x:c r="J302" s="93"/>
      <x:c r="K302" s="93"/>
    </x:row>
    <x:row r="303" s="92" customFormat="1" ht="7.900000095367432" customHeight="1">
      <x:c r="B303" s="93"/>
      <x:c r="C303" s="93"/>
      <x:c r="D303" s="93"/>
      <x:c r="E303" s="93"/>
      <x:c r="F303" s="93"/>
      <x:c r="G303" s="93"/>
      <x:c r="H303" s="93"/>
      <x:c r="I303" s="93"/>
      <x:c r="J303" s="93"/>
      <x:c r="K303" s="93"/>
    </x:row>
    <x:row r="304" s="92" customFormat="1" ht="7.900000095367432" customHeight="1">
      <x:c r="B304" s="93"/>
      <x:c r="C304" s="93"/>
      <x:c r="D304" s="93"/>
      <x:c r="E304" s="93"/>
      <x:c r="F304" s="93"/>
      <x:c r="G304" s="93"/>
      <x:c r="H304" s="93"/>
      <x:c r="I304" s="93"/>
      <x:c r="J304" s="93"/>
      <x:c r="K304" s="93"/>
    </x:row>
    <x:row r="305" s="92" customFormat="1" ht="7.900000095367432" customHeight="1">
      <x:c r="B305" s="93"/>
      <x:c r="C305" s="93"/>
      <x:c r="D305" s="93"/>
      <x:c r="E305" s="93"/>
      <x:c r="F305" s="93"/>
      <x:c r="G305" s="93"/>
      <x:c r="H305" s="93"/>
      <x:c r="I305" s="93"/>
      <x:c r="J305" s="93"/>
      <x:c r="K305" s="93"/>
    </x:row>
    <x:row r="306" s="92" customFormat="1" ht="7.900000095367432" customHeight="1">
      <x:c r="B306" s="93"/>
      <x:c r="C306" s="93"/>
      <x:c r="D306" s="93"/>
      <x:c r="E306" s="93"/>
      <x:c r="F306" s="93"/>
      <x:c r="G306" s="93"/>
      <x:c r="H306" s="93"/>
      <x:c r="I306" s="93"/>
      <x:c r="J306" s="93"/>
      <x:c r="K306" s="93"/>
    </x:row>
    <x:row r="307" s="92" customFormat="1" ht="7.900000095367432" customHeight="1">
      <x:c r="B307" s="93"/>
      <x:c r="C307" s="93"/>
      <x:c r="D307" s="93"/>
      <x:c r="E307" s="93"/>
      <x:c r="F307" s="93"/>
      <x:c r="G307" s="93"/>
      <x:c r="H307" s="93"/>
      <x:c r="I307" s="93"/>
      <x:c r="J307" s="93"/>
      <x:c r="K307" s="93"/>
    </x:row>
    <x:row r="308" s="92" customFormat="1" ht="7.900000095367432" customHeight="1">
      <x:c r="B308" s="93"/>
      <x:c r="C308" s="93"/>
      <x:c r="D308" s="93"/>
      <x:c r="E308" s="93"/>
      <x:c r="F308" s="93"/>
      <x:c r="G308" s="93"/>
      <x:c r="H308" s="93"/>
      <x:c r="I308" s="93"/>
      <x:c r="J308" s="93"/>
      <x:c r="K308" s="93"/>
    </x:row>
    <x:row r="309" s="92" customFormat="1" ht="7.900000095367432" customHeight="1">
      <x:c r="B309" s="93"/>
      <x:c r="C309" s="93"/>
      <x:c r="D309" s="93"/>
      <x:c r="E309" s="93"/>
      <x:c r="F309" s="93"/>
      <x:c r="G309" s="93"/>
      <x:c r="H309" s="93"/>
      <x:c r="I309" s="93"/>
      <x:c r="J309" s="93"/>
      <x:c r="K309" s="93"/>
    </x:row>
    <x:row r="310" s="92" customFormat="1" ht="7.900000095367432" customHeight="1">
      <x:c r="B310" s="93"/>
      <x:c r="C310" s="93"/>
      <x:c r="D310" s="93"/>
      <x:c r="E310" s="93"/>
      <x:c r="F310" s="93"/>
      <x:c r="G310" s="93"/>
      <x:c r="H310" s="93"/>
      <x:c r="I310" s="93"/>
      <x:c r="J310" s="93"/>
      <x:c r="K310" s="93"/>
    </x:row>
    <x:row r="311" s="92" customFormat="1" ht="7.900000095367432" customHeight="1">
      <x:c r="B311" s="93"/>
      <x:c r="C311" s="93"/>
      <x:c r="D311" s="93"/>
      <x:c r="E311" s="93"/>
      <x:c r="F311" s="93"/>
      <x:c r="G311" s="93"/>
      <x:c r="H311" s="93"/>
      <x:c r="I311" s="93"/>
      <x:c r="J311" s="93"/>
      <x:c r="K311" s="93"/>
    </x:row>
    <x:row r="312" s="92" customFormat="1" ht="7.900000095367432" customHeight="1">
      <x:c r="B312" s="93"/>
      <x:c r="C312" s="93"/>
      <x:c r="D312" s="93"/>
      <x:c r="E312" s="93"/>
      <x:c r="F312" s="93"/>
      <x:c r="G312" s="93"/>
      <x:c r="H312" s="93"/>
      <x:c r="I312" s="93"/>
      <x:c r="J312" s="93"/>
      <x:c r="K312" s="93"/>
    </x:row>
    <x:row r="313" s="92" customFormat="1" ht="7.900000095367432" customHeight="1">
      <x:c r="B313" s="93"/>
      <x:c r="C313" s="93"/>
      <x:c r="D313" s="93"/>
      <x:c r="E313" s="93"/>
      <x:c r="F313" s="93"/>
      <x:c r="G313" s="93"/>
      <x:c r="H313" s="93"/>
      <x:c r="I313" s="93"/>
      <x:c r="J313" s="93"/>
      <x:c r="K313" s="93"/>
    </x:row>
    <x:row r="314" s="92" customFormat="1" ht="7.900000095367432" customHeight="1">
      <x:c r="B314" s="93"/>
      <x:c r="C314" s="93"/>
      <x:c r="D314" s="93"/>
      <x:c r="E314" s="93"/>
      <x:c r="F314" s="93"/>
      <x:c r="G314" s="93"/>
      <x:c r="H314" s="93"/>
      <x:c r="I314" s="93"/>
      <x:c r="J314" s="93"/>
      <x:c r="K314" s="93"/>
    </x:row>
    <x:row r="315" s="92" customFormat="1" ht="7.900000095367432" customHeight="1">
      <x:c r="B315" s="93"/>
      <x:c r="C315" s="93"/>
      <x:c r="D315" s="93"/>
      <x:c r="E315" s="93"/>
      <x:c r="F315" s="93"/>
      <x:c r="G315" s="93"/>
      <x:c r="H315" s="93"/>
      <x:c r="I315" s="93"/>
      <x:c r="J315" s="93"/>
      <x:c r="K315" s="93"/>
    </x:row>
    <x:row r="316" s="92" customFormat="1" ht="7.900000095367432" customHeight="1">
      <x:c r="B316" s="93"/>
      <x:c r="C316" s="93"/>
      <x:c r="D316" s="93"/>
      <x:c r="E316" s="93"/>
      <x:c r="F316" s="93"/>
      <x:c r="G316" s="93"/>
      <x:c r="H316" s="93"/>
      <x:c r="I316" s="93"/>
      <x:c r="J316" s="93"/>
      <x:c r="K316" s="93"/>
    </x:row>
    <x:row r="317" s="92" customFormat="1" ht="7.900000095367432" customHeight="1">
      <x:c r="B317" s="93"/>
      <x:c r="C317" s="93"/>
      <x:c r="D317" s="93"/>
      <x:c r="E317" s="93"/>
      <x:c r="F317" s="93"/>
      <x:c r="G317" s="93"/>
      <x:c r="H317" s="93"/>
      <x:c r="I317" s="93"/>
      <x:c r="J317" s="93"/>
      <x:c r="K317" s="93"/>
    </x:row>
    <x:row r="318" s="92" customFormat="1" ht="7.900000095367432" customHeight="1">
      <x:c r="B318" s="93"/>
      <x:c r="C318" s="93"/>
      <x:c r="D318" s="93"/>
      <x:c r="E318" s="93"/>
      <x:c r="F318" s="93"/>
      <x:c r="G318" s="93"/>
      <x:c r="H318" s="93"/>
      <x:c r="I318" s="93"/>
      <x:c r="J318" s="93"/>
      <x:c r="K318" s="93"/>
    </x:row>
    <x:row r="319" s="92" customFormat="1" ht="7.900000095367432" customHeight="1">
      <x:c r="B319" s="93"/>
      <x:c r="C319" s="93"/>
      <x:c r="D319" s="93"/>
      <x:c r="E319" s="93"/>
      <x:c r="F319" s="93"/>
      <x:c r="G319" s="93"/>
      <x:c r="H319" s="93"/>
      <x:c r="I319" s="93"/>
      <x:c r="J319" s="93"/>
      <x:c r="K319" s="93"/>
    </x:row>
    <x:row r="320" s="92" customFormat="1" ht="7.900000095367432" customHeight="1">
      <x:c r="B320" s="93"/>
      <x:c r="C320" s="93"/>
      <x:c r="D320" s="93"/>
      <x:c r="E320" s="93"/>
      <x:c r="F320" s="93"/>
      <x:c r="G320" s="93"/>
      <x:c r="H320" s="93"/>
      <x:c r="I320" s="93"/>
      <x:c r="J320" s="93"/>
      <x:c r="K320" s="93"/>
    </x:row>
    <x:row r="321" s="92" customFormat="1" ht="7.900000095367432" customHeight="1">
      <x:c r="B321" s="93"/>
      <x:c r="C321" s="93"/>
      <x:c r="D321" s="93"/>
      <x:c r="E321" s="93"/>
      <x:c r="F321" s="93"/>
      <x:c r="G321" s="93"/>
      <x:c r="H321" s="93"/>
      <x:c r="I321" s="93"/>
      <x:c r="J321" s="93"/>
      <x:c r="K321" s="93"/>
    </x:row>
    <x:row r="322" s="92" customFormat="1" ht="7.900000095367432" customHeight="1">
      <x:c r="B322" s="93"/>
      <x:c r="C322" s="93"/>
      <x:c r="D322" s="93"/>
      <x:c r="E322" s="93"/>
      <x:c r="F322" s="93"/>
      <x:c r="G322" s="93"/>
      <x:c r="H322" s="93"/>
      <x:c r="I322" s="93"/>
      <x:c r="J322" s="93"/>
      <x:c r="K322" s="93"/>
    </x:row>
    <x:row r="323" s="92" customFormat="1" ht="7.900000095367432" customHeight="1">
      <x:c r="B323" s="93"/>
      <x:c r="C323" s="93"/>
      <x:c r="D323" s="93"/>
      <x:c r="E323" s="93"/>
      <x:c r="F323" s="93"/>
      <x:c r="G323" s="93"/>
      <x:c r="H323" s="93"/>
      <x:c r="I323" s="93"/>
      <x:c r="J323" s="93"/>
      <x:c r="K323" s="93"/>
    </x:row>
    <x:row r="324" s="92" customFormat="1" ht="7.900000095367432" customHeight="1">
      <x:c r="B324" s="93"/>
      <x:c r="C324" s="93"/>
      <x:c r="D324" s="93"/>
      <x:c r="E324" s="93"/>
      <x:c r="F324" s="93"/>
      <x:c r="G324" s="93"/>
      <x:c r="H324" s="93"/>
      <x:c r="I324" s="93"/>
      <x:c r="J324" s="93"/>
      <x:c r="K324" s="93"/>
    </x:row>
    <x:row r="325" s="92" customFormat="1" ht="7.900000095367432" customHeight="1">
      <x:c r="B325" s="93"/>
      <x:c r="C325" s="93"/>
      <x:c r="D325" s="93"/>
      <x:c r="E325" s="93"/>
      <x:c r="F325" s="93"/>
      <x:c r="G325" s="93"/>
      <x:c r="H325" s="93"/>
      <x:c r="I325" s="93"/>
      <x:c r="J325" s="93"/>
      <x:c r="K325" s="93"/>
    </x:row>
    <x:row r="326" s="92" customFormat="1" ht="7.900000095367432" customHeight="1">
      <x:c r="B326" s="93"/>
      <x:c r="C326" s="93"/>
      <x:c r="D326" s="93"/>
      <x:c r="E326" s="93"/>
      <x:c r="F326" s="93"/>
      <x:c r="G326" s="93"/>
      <x:c r="H326" s="93"/>
      <x:c r="I326" s="93"/>
      <x:c r="J326" s="93"/>
      <x:c r="K326" s="93"/>
    </x:row>
    <x:row r="327" s="92" customFormat="1" ht="7.900000095367432" customHeight="1">
      <x:c r="B327" s="93"/>
      <x:c r="C327" s="93"/>
      <x:c r="D327" s="93"/>
      <x:c r="E327" s="93"/>
      <x:c r="F327" s="93"/>
      <x:c r="G327" s="93"/>
      <x:c r="H327" s="93"/>
      <x:c r="I327" s="93"/>
      <x:c r="J327" s="93"/>
      <x:c r="K327" s="93"/>
    </x:row>
    <x:row r="328" s="92" customFormat="1" ht="7.900000095367432" customHeight="1">
      <x:c r="B328" s="93"/>
      <x:c r="C328" s="93"/>
      <x:c r="D328" s="93"/>
      <x:c r="E328" s="93"/>
      <x:c r="F328" s="93"/>
      <x:c r="G328" s="93"/>
      <x:c r="H328" s="93"/>
      <x:c r="I328" s="93"/>
      <x:c r="J328" s="93"/>
      <x:c r="K328" s="93"/>
    </x:row>
    <x:row r="329" s="92" customFormat="1" ht="7.900000095367432" customHeight="1">
      <x:c r="B329" s="93"/>
      <x:c r="C329" s="93"/>
      <x:c r="D329" s="93"/>
      <x:c r="E329" s="93"/>
      <x:c r="F329" s="93"/>
      <x:c r="G329" s="93"/>
      <x:c r="H329" s="93"/>
      <x:c r="I329" s="93"/>
      <x:c r="J329" s="93"/>
      <x:c r="K329" s="93"/>
    </x:row>
    <x:row r="330" s="92" customFormat="1" ht="7.900000095367432" customHeight="1">
      <x:c r="B330" s="93"/>
      <x:c r="C330" s="93"/>
      <x:c r="D330" s="93"/>
      <x:c r="E330" s="93"/>
      <x:c r="F330" s="93"/>
      <x:c r="G330" s="93"/>
      <x:c r="H330" s="93"/>
      <x:c r="I330" s="93"/>
      <x:c r="J330" s="93"/>
      <x:c r="K330" s="93"/>
    </x:row>
    <x:row r="331" s="92" customFormat="1" ht="7.900000095367432" customHeight="1">
      <x:c r="B331" s="93"/>
      <x:c r="C331" s="93"/>
      <x:c r="D331" s="93"/>
      <x:c r="E331" s="93"/>
      <x:c r="F331" s="93"/>
      <x:c r="G331" s="93"/>
      <x:c r="H331" s="93"/>
      <x:c r="I331" s="93"/>
      <x:c r="J331" s="93"/>
      <x:c r="K331" s="93"/>
    </x:row>
    <x:row r="332" s="92" customFormat="1" ht="7.900000095367432" customHeight="1">
      <x:c r="B332" s="93"/>
      <x:c r="C332" s="93"/>
      <x:c r="D332" s="93"/>
      <x:c r="E332" s="93"/>
      <x:c r="F332" s="93"/>
      <x:c r="G332" s="93"/>
      <x:c r="H332" s="93"/>
      <x:c r="I332" s="93"/>
      <x:c r="J332" s="93"/>
      <x:c r="K332" s="93"/>
    </x:row>
    <x:row r="333" s="92" customFormat="1" ht="7.900000095367432" customHeight="1">
      <x:c r="B333" s="93"/>
      <x:c r="C333" s="93"/>
      <x:c r="D333" s="93"/>
      <x:c r="E333" s="93"/>
      <x:c r="F333" s="93"/>
      <x:c r="G333" s="93"/>
      <x:c r="H333" s="93"/>
      <x:c r="I333" s="93"/>
      <x:c r="J333" s="93"/>
      <x:c r="K333" s="93"/>
    </x:row>
    <x:row r="334" s="92" customFormat="1" ht="7.900000095367432" customHeight="1">
      <x:c r="B334" s="93"/>
      <x:c r="C334" s="93"/>
      <x:c r="D334" s="93"/>
      <x:c r="E334" s="93"/>
      <x:c r="F334" s="93"/>
      <x:c r="G334" s="93"/>
      <x:c r="H334" s="93"/>
      <x:c r="I334" s="93"/>
      <x:c r="J334" s="93"/>
      <x:c r="K334" s="93"/>
    </x:row>
    <x:row r="335" s="92" customFormat="1" ht="7.900000095367432" customHeight="1">
      <x:c r="B335" s="93"/>
      <x:c r="C335" s="93"/>
      <x:c r="D335" s="93"/>
      <x:c r="E335" s="93"/>
      <x:c r="F335" s="93"/>
      <x:c r="G335" s="93"/>
      <x:c r="H335" s="93"/>
      <x:c r="I335" s="93"/>
      <x:c r="J335" s="93"/>
      <x:c r="K335" s="93"/>
    </x:row>
    <x:row r="336" s="92" customFormat="1" ht="7.900000095367432" customHeight="1">
      <x:c r="B336" s="93"/>
      <x:c r="C336" s="93"/>
      <x:c r="D336" s="93"/>
      <x:c r="E336" s="93"/>
      <x:c r="F336" s="93"/>
      <x:c r="G336" s="93"/>
      <x:c r="H336" s="93"/>
      <x:c r="I336" s="93"/>
      <x:c r="J336" s="93"/>
      <x:c r="K336" s="93"/>
    </x:row>
    <x:row r="337" s="92" customFormat="1" ht="7.900000095367432" customHeight="1">
      <x:c r="B337" s="93"/>
      <x:c r="C337" s="93"/>
      <x:c r="D337" s="93"/>
      <x:c r="E337" s="93"/>
      <x:c r="F337" s="93"/>
      <x:c r="G337" s="93"/>
      <x:c r="H337" s="93"/>
      <x:c r="I337" s="93"/>
      <x:c r="J337" s="93"/>
      <x:c r="K337" s="93"/>
    </x:row>
    <x:row r="338" s="92" customFormat="1" ht="7.900000095367432" customHeight="1">
      <x:c r="B338" s="93"/>
      <x:c r="C338" s="93"/>
      <x:c r="D338" s="93"/>
      <x:c r="E338" s="93"/>
      <x:c r="F338" s="93"/>
      <x:c r="G338" s="93"/>
      <x:c r="H338" s="93"/>
      <x:c r="I338" s="93"/>
      <x:c r="J338" s="93"/>
      <x:c r="K338" s="93"/>
    </x:row>
    <x:row r="339" s="92" customFormat="1" ht="7.900000095367432" customHeight="1">
      <x:c r="B339" s="93"/>
      <x:c r="C339" s="93"/>
      <x:c r="D339" s="93"/>
      <x:c r="E339" s="93"/>
      <x:c r="F339" s="93"/>
      <x:c r="G339" s="93"/>
      <x:c r="H339" s="93"/>
      <x:c r="I339" s="93"/>
      <x:c r="J339" s="93"/>
      <x:c r="K339" s="93"/>
    </x:row>
    <x:row r="340" s="92" customFormat="1" ht="7.900000095367432" customHeight="1">
      <x:c r="B340" s="93"/>
      <x:c r="C340" s="93"/>
      <x:c r="D340" s="93"/>
      <x:c r="E340" s="93"/>
      <x:c r="F340" s="93"/>
      <x:c r="G340" s="93"/>
      <x:c r="H340" s="93"/>
      <x:c r="I340" s="93"/>
      <x:c r="J340" s="93"/>
      <x:c r="K340" s="93"/>
    </x:row>
    <x:row r="341" s="92" customFormat="1" ht="7.900000095367432" customHeight="1">
      <x:c r="B341" s="93"/>
      <x:c r="C341" s="93"/>
      <x:c r="D341" s="93"/>
      <x:c r="E341" s="93"/>
      <x:c r="F341" s="93"/>
      <x:c r="G341" s="93"/>
      <x:c r="H341" s="93"/>
      <x:c r="I341" s="93"/>
      <x:c r="J341" s="93"/>
      <x:c r="K341" s="93"/>
    </x:row>
    <x:row r="342" s="92" customFormat="1" ht="7.900000095367432" customHeight="1">
      <x:c r="B342" s="93"/>
      <x:c r="C342" s="93"/>
      <x:c r="D342" s="93"/>
      <x:c r="E342" s="93"/>
      <x:c r="F342" s="93"/>
      <x:c r="G342" s="93"/>
      <x:c r="H342" s="93"/>
      <x:c r="I342" s="93"/>
      <x:c r="J342" s="93"/>
      <x:c r="K342" s="93"/>
    </x:row>
    <x:row r="343" s="92" customFormat="1" ht="7.900000095367432" customHeight="1">
      <x:c r="B343" s="93"/>
      <x:c r="C343" s="93"/>
      <x:c r="D343" s="93"/>
      <x:c r="E343" s="93"/>
      <x:c r="F343" s="93"/>
      <x:c r="G343" s="93"/>
      <x:c r="H343" s="93"/>
      <x:c r="I343" s="93"/>
      <x:c r="J343" s="93"/>
      <x:c r="K343" s="93"/>
    </x:row>
    <x:row r="344" s="92" customFormat="1" ht="7.900000095367432" customHeight="1">
      <x:c r="B344" s="93"/>
      <x:c r="C344" s="93"/>
      <x:c r="D344" s="93"/>
      <x:c r="E344" s="93"/>
      <x:c r="F344" s="93"/>
      <x:c r="G344" s="93"/>
      <x:c r="H344" s="93"/>
      <x:c r="I344" s="93"/>
      <x:c r="J344" s="93"/>
      <x:c r="K344" s="93"/>
    </x:row>
    <x:row r="345" s="92" customFormat="1" ht="7.900000095367432" customHeight="1">
      <x:c r="B345" s="93"/>
      <x:c r="C345" s="93"/>
      <x:c r="D345" s="93"/>
      <x:c r="E345" s="93"/>
      <x:c r="F345" s="93"/>
      <x:c r="G345" s="93"/>
      <x:c r="H345" s="93"/>
      <x:c r="I345" s="93"/>
      <x:c r="J345" s="93"/>
      <x:c r="K345" s="93"/>
    </x:row>
    <x:row r="346" s="92" customFormat="1" ht="7.900000095367432" customHeight="1">
      <x:c r="B346" s="93"/>
      <x:c r="C346" s="93"/>
      <x:c r="D346" s="93"/>
      <x:c r="E346" s="93"/>
      <x:c r="F346" s="93"/>
      <x:c r="G346" s="93"/>
      <x:c r="H346" s="93"/>
      <x:c r="I346" s="93"/>
      <x:c r="J346" s="93"/>
      <x:c r="K346" s="93"/>
    </x:row>
    <x:row r="347" s="92" customFormat="1" ht="7.900000095367432" customHeight="1">
      <x:c r="B347" s="93"/>
      <x:c r="C347" s="93"/>
      <x:c r="D347" s="93"/>
      <x:c r="E347" s="93"/>
      <x:c r="F347" s="93"/>
      <x:c r="G347" s="93"/>
      <x:c r="H347" s="93"/>
      <x:c r="I347" s="93"/>
      <x:c r="J347" s="93"/>
      <x:c r="K347" s="93"/>
    </x:row>
    <x:row r="348" s="92" customFormat="1" ht="7.900000095367432" customHeight="1">
      <x:c r="B348" s="93"/>
      <x:c r="C348" s="93"/>
      <x:c r="D348" s="93"/>
      <x:c r="E348" s="93"/>
      <x:c r="F348" s="93"/>
      <x:c r="G348" s="93"/>
      <x:c r="H348" s="93"/>
      <x:c r="I348" s="93"/>
      <x:c r="J348" s="93"/>
      <x:c r="K348" s="93"/>
    </x:row>
    <x:row r="349" s="92" customFormat="1" ht="7.900000095367432" customHeight="1">
      <x:c r="B349" s="93"/>
      <x:c r="C349" s="93"/>
      <x:c r="D349" s="93"/>
      <x:c r="E349" s="93"/>
      <x:c r="F349" s="93"/>
      <x:c r="G349" s="93"/>
      <x:c r="H349" s="93"/>
      <x:c r="I349" s="93"/>
      <x:c r="J349" s="93"/>
      <x:c r="K349" s="93"/>
    </x:row>
    <x:row r="350" s="92" customFormat="1" ht="7.900000095367432" customHeight="1">
      <x:c r="B350" s="93"/>
      <x:c r="C350" s="93"/>
      <x:c r="D350" s="93"/>
      <x:c r="E350" s="93"/>
      <x:c r="F350" s="93"/>
      <x:c r="G350" s="93"/>
      <x:c r="H350" s="93"/>
      <x:c r="I350" s="93"/>
      <x:c r="J350" s="93"/>
      <x:c r="K350" s="93"/>
    </x:row>
    <x:row r="351" s="92" customFormat="1" ht="7.900000095367432" customHeight="1">
      <x:c r="B351" s="93"/>
      <x:c r="C351" s="93"/>
      <x:c r="D351" s="93"/>
      <x:c r="E351" s="93"/>
      <x:c r="F351" s="93"/>
      <x:c r="G351" s="93"/>
      <x:c r="H351" s="93"/>
      <x:c r="I351" s="93"/>
      <x:c r="J351" s="93"/>
      <x:c r="K351" s="93"/>
    </x:row>
    <x:row r="352" s="92" customFormat="1" ht="7.900000095367432" customHeight="1">
      <x:c r="B352" s="93"/>
      <x:c r="C352" s="93"/>
      <x:c r="D352" s="93"/>
      <x:c r="E352" s="93"/>
      <x:c r="F352" s="93"/>
      <x:c r="G352" s="93"/>
      <x:c r="H352" s="93"/>
      <x:c r="I352" s="93"/>
      <x:c r="J352" s="93"/>
      <x:c r="K352" s="93"/>
    </x:row>
    <x:row r="353" s="92" customFormat="1" ht="7.900000095367432" customHeight="1">
      <x:c r="B353" s="93"/>
      <x:c r="C353" s="93"/>
      <x:c r="D353" s="93"/>
      <x:c r="E353" s="93"/>
      <x:c r="F353" s="93"/>
      <x:c r="G353" s="93"/>
      <x:c r="H353" s="93"/>
      <x:c r="I353" s="93"/>
      <x:c r="J353" s="93"/>
      <x:c r="K353" s="93"/>
    </x:row>
    <x:row r="354" s="92" customFormat="1" ht="7.900000095367432" customHeight="1">
      <x:c r="B354" s="93"/>
      <x:c r="C354" s="93"/>
      <x:c r="D354" s="93"/>
      <x:c r="E354" s="93"/>
      <x:c r="F354" s="93"/>
      <x:c r="G354" s="93"/>
      <x:c r="H354" s="93"/>
      <x:c r="I354" s="93"/>
      <x:c r="J354" s="93"/>
      <x:c r="K354" s="93"/>
    </x:row>
    <x:row r="355" s="92" customFormat="1" ht="7.900000095367432" customHeight="1">
      <x:c r="B355" s="93"/>
      <x:c r="C355" s="93"/>
      <x:c r="D355" s="93"/>
      <x:c r="E355" s="93"/>
      <x:c r="F355" s="93"/>
      <x:c r="G355" s="93"/>
      <x:c r="H355" s="93"/>
      <x:c r="I355" s="93"/>
      <x:c r="J355" s="93"/>
      <x:c r="K355" s="93"/>
    </x:row>
    <x:row r="356" s="92" customFormat="1" ht="7.900000095367432" customHeight="1">
      <x:c r="B356" s="93"/>
      <x:c r="C356" s="93"/>
      <x:c r="D356" s="93"/>
      <x:c r="E356" s="93"/>
      <x:c r="F356" s="93"/>
      <x:c r="G356" s="93"/>
      <x:c r="H356" s="93"/>
      <x:c r="I356" s="93"/>
      <x:c r="J356" s="93"/>
      <x:c r="K356" s="93"/>
    </x:row>
    <x:row r="357" s="92" customFormat="1" ht="7.900000095367432" customHeight="1">
      <x:c r="B357" s="93"/>
      <x:c r="C357" s="93"/>
      <x:c r="D357" s="93"/>
      <x:c r="E357" s="93"/>
      <x:c r="F357" s="93"/>
      <x:c r="G357" s="93"/>
      <x:c r="H357" s="93"/>
      <x:c r="I357" s="93"/>
      <x:c r="J357" s="93"/>
      <x:c r="K357" s="93"/>
    </x:row>
    <x:row r="358" s="92" customFormat="1" ht="7.900000095367432" customHeight="1">
      <x:c r="B358" s="93"/>
      <x:c r="C358" s="93"/>
      <x:c r="D358" s="93"/>
      <x:c r="E358" s="93"/>
      <x:c r="F358" s="93"/>
      <x:c r="G358" s="93"/>
      <x:c r="H358" s="93"/>
      <x:c r="I358" s="93"/>
      <x:c r="J358" s="93"/>
      <x:c r="K358" s="93"/>
    </x:row>
    <x:row r="359" s="92" customFormat="1" ht="7.900000095367432" customHeight="1">
      <x:c r="B359" s="93"/>
      <x:c r="C359" s="93"/>
      <x:c r="D359" s="93"/>
      <x:c r="E359" s="93"/>
      <x:c r="F359" s="93"/>
      <x:c r="G359" s="93"/>
      <x:c r="H359" s="93"/>
      <x:c r="I359" s="93"/>
      <x:c r="J359" s="93"/>
      <x:c r="K359" s="93"/>
    </x:row>
    <x:row r="360" s="92" customFormat="1" ht="7.900000095367432" customHeight="1">
      <x:c r="B360" s="93"/>
      <x:c r="C360" s="93"/>
      <x:c r="D360" s="93"/>
      <x:c r="E360" s="93"/>
      <x:c r="F360" s="93"/>
      <x:c r="G360" s="93"/>
      <x:c r="H360" s="93"/>
      <x:c r="I360" s="93"/>
      <x:c r="J360" s="93"/>
      <x:c r="K360" s="93"/>
    </x:row>
    <x:row r="361" s="92" customFormat="1" ht="7.900000095367432" customHeight="1">
      <x:c r="B361" s="93"/>
      <x:c r="C361" s="93"/>
      <x:c r="D361" s="93"/>
      <x:c r="E361" s="93"/>
      <x:c r="F361" s="93"/>
      <x:c r="G361" s="93"/>
      <x:c r="H361" s="93"/>
      <x:c r="I361" s="93"/>
      <x:c r="J361" s="93"/>
      <x:c r="K361" s="93"/>
    </x:row>
    <x:row r="362" s="92" customFormat="1" ht="7.900000095367432" customHeight="1">
      <x:c r="B362" s="93"/>
      <x:c r="C362" s="93"/>
      <x:c r="D362" s="93"/>
      <x:c r="E362" s="93"/>
      <x:c r="F362" s="93"/>
      <x:c r="G362" s="93"/>
      <x:c r="H362" s="93"/>
      <x:c r="I362" s="93"/>
      <x:c r="J362" s="93"/>
      <x:c r="K362" s="93"/>
    </x:row>
    <x:row r="363" s="92" customFormat="1" ht="7.900000095367432" customHeight="1">
      <x:c r="B363" s="93"/>
      <x:c r="C363" s="93"/>
      <x:c r="D363" s="93"/>
      <x:c r="E363" s="93"/>
      <x:c r="F363" s="93"/>
      <x:c r="G363" s="93"/>
      <x:c r="H363" s="93"/>
      <x:c r="I363" s="93"/>
      <x:c r="J363" s="93"/>
      <x:c r="K363" s="93"/>
    </x:row>
    <x:row r="364" s="92" customFormat="1" ht="7.900000095367432" customHeight="1">
      <x:c r="B364" s="93"/>
      <x:c r="C364" s="93"/>
      <x:c r="D364" s="93"/>
      <x:c r="E364" s="93"/>
      <x:c r="F364" s="93"/>
      <x:c r="G364" s="93"/>
      <x:c r="H364" s="93"/>
      <x:c r="I364" s="93"/>
      <x:c r="J364" s="93"/>
      <x:c r="K364" s="93"/>
    </x:row>
    <x:row r="365" s="92" customFormat="1" ht="7.900000095367432" customHeight="1">
      <x:c r="B365" s="93"/>
      <x:c r="C365" s="93"/>
      <x:c r="D365" s="93"/>
      <x:c r="E365" s="93"/>
      <x:c r="F365" s="93"/>
      <x:c r="G365" s="93"/>
      <x:c r="H365" s="93"/>
      <x:c r="I365" s="93"/>
      <x:c r="J365" s="93"/>
      <x:c r="K365" s="93"/>
    </x:row>
    <x:row r="366" s="92" customFormat="1" ht="7.900000095367432" customHeight="1">
      <x:c r="B366" s="93"/>
      <x:c r="C366" s="93"/>
      <x:c r="D366" s="93"/>
      <x:c r="E366" s="93"/>
      <x:c r="F366" s="93"/>
      <x:c r="G366" s="93"/>
      <x:c r="H366" s="93"/>
      <x:c r="I366" s="93"/>
      <x:c r="J366" s="93"/>
      <x:c r="K366" s="93"/>
    </x:row>
    <x:row r="367" s="92" customFormat="1" ht="7.900000095367432" customHeight="1">
      <x:c r="B367" s="93"/>
      <x:c r="C367" s="93"/>
      <x:c r="D367" s="93"/>
      <x:c r="E367" s="93"/>
      <x:c r="F367" s="93"/>
      <x:c r="G367" s="93"/>
      <x:c r="H367" s="93"/>
      <x:c r="I367" s="93"/>
      <x:c r="J367" s="93"/>
      <x:c r="K367" s="93"/>
    </x:row>
    <x:row r="368" s="92" customFormat="1" ht="7.900000095367432" customHeight="1">
      <x:c r="B368" s="93"/>
      <x:c r="C368" s="93"/>
      <x:c r="D368" s="93"/>
      <x:c r="E368" s="93"/>
      <x:c r="F368" s="93"/>
      <x:c r="G368" s="93"/>
      <x:c r="H368" s="93"/>
      <x:c r="I368" s="93"/>
      <x:c r="J368" s="93"/>
      <x:c r="K368" s="93"/>
    </x:row>
    <x:row r="369" s="92" customFormat="1" ht="7.900000095367432" customHeight="1">
      <x:c r="B369" s="93"/>
      <x:c r="C369" s="93"/>
      <x:c r="D369" s="93"/>
      <x:c r="E369" s="93"/>
      <x:c r="F369" s="93"/>
      <x:c r="G369" s="93"/>
      <x:c r="H369" s="93"/>
      <x:c r="I369" s="93"/>
      <x:c r="J369" s="93"/>
      <x:c r="K369" s="93"/>
    </x:row>
    <x:row r="370" s="92" customFormat="1" ht="7.900000095367432" customHeight="1">
      <x:c r="B370" s="93"/>
      <x:c r="C370" s="93"/>
      <x:c r="D370" s="93"/>
      <x:c r="E370" s="93"/>
      <x:c r="F370" s="93"/>
      <x:c r="G370" s="93"/>
      <x:c r="H370" s="93"/>
      <x:c r="I370" s="93"/>
      <x:c r="J370" s="93"/>
      <x:c r="K370" s="93"/>
    </x:row>
    <x:row r="371" s="92" customFormat="1" ht="7.900000095367432" customHeight="1">
      <x:c r="B371" s="93"/>
      <x:c r="C371" s="93"/>
      <x:c r="D371" s="93"/>
      <x:c r="E371" s="93"/>
      <x:c r="F371" s="93"/>
      <x:c r="G371" s="93"/>
      <x:c r="H371" s="93"/>
      <x:c r="I371" s="93"/>
      <x:c r="J371" s="93"/>
      <x:c r="K371" s="93"/>
    </x:row>
    <x:row r="372" s="92" customFormat="1" ht="7.900000095367432" customHeight="1">
      <x:c r="B372" s="93"/>
      <x:c r="C372" s="93"/>
      <x:c r="D372" s="93"/>
      <x:c r="E372" s="93"/>
      <x:c r="F372" s="93"/>
      <x:c r="G372" s="93"/>
      <x:c r="H372" s="93"/>
      <x:c r="I372" s="93"/>
      <x:c r="J372" s="93"/>
      <x:c r="K372" s="93"/>
    </x:row>
    <x:row r="373" s="92" customFormat="1" ht="7.900000095367432" customHeight="1">
      <x:c r="B373" s="93"/>
      <x:c r="C373" s="93"/>
      <x:c r="D373" s="93"/>
      <x:c r="E373" s="93"/>
      <x:c r="F373" s="93"/>
      <x:c r="G373" s="93"/>
      <x:c r="H373" s="93"/>
      <x:c r="I373" s="93"/>
      <x:c r="J373" s="93"/>
      <x:c r="K373" s="93"/>
    </x:row>
    <x:row r="374" s="92" customFormat="1" ht="7.900000095367432" customHeight="1">
      <x:c r="B374" s="93"/>
      <x:c r="C374" s="93"/>
      <x:c r="D374" s="93"/>
      <x:c r="E374" s="93"/>
      <x:c r="F374" s="93"/>
      <x:c r="G374" s="93"/>
      <x:c r="H374" s="93"/>
      <x:c r="I374" s="93"/>
      <x:c r="J374" s="93"/>
      <x:c r="K374" s="93"/>
    </x:row>
    <x:row r="375" s="92" customFormat="1" ht="7.900000095367432" customHeight="1">
      <x:c r="B375" s="93"/>
      <x:c r="C375" s="93"/>
      <x:c r="D375" s="93"/>
      <x:c r="E375" s="93"/>
      <x:c r="F375" s="93"/>
      <x:c r="G375" s="93"/>
      <x:c r="H375" s="93"/>
      <x:c r="I375" s="93"/>
      <x:c r="J375" s="93"/>
      <x:c r="K375" s="93"/>
    </x:row>
    <x:row r="376" s="92" customFormat="1" ht="7.900000095367432" customHeight="1">
      <x:c r="B376" s="93"/>
      <x:c r="C376" s="93"/>
      <x:c r="D376" s="93"/>
      <x:c r="E376" s="93"/>
      <x:c r="F376" s="93"/>
      <x:c r="G376" s="93"/>
      <x:c r="H376" s="93"/>
      <x:c r="I376" s="93"/>
      <x:c r="J376" s="93"/>
      <x:c r="K376" s="93"/>
    </x:row>
    <x:row r="377" s="92" customFormat="1" ht="7.900000095367432" customHeight="1">
      <x:c r="B377" s="93"/>
      <x:c r="C377" s="93"/>
      <x:c r="D377" s="93"/>
      <x:c r="E377" s="93"/>
      <x:c r="F377" s="93"/>
      <x:c r="G377" s="93"/>
      <x:c r="H377" s="93"/>
      <x:c r="I377" s="93"/>
      <x:c r="J377" s="93"/>
      <x:c r="K377" s="93"/>
    </x:row>
    <x:row r="378" s="92" customFormat="1" ht="7.900000095367432" customHeight="1">
      <x:c r="B378" s="93"/>
      <x:c r="C378" s="93"/>
      <x:c r="D378" s="93"/>
      <x:c r="E378" s="93"/>
      <x:c r="F378" s="93"/>
      <x:c r="G378" s="93"/>
      <x:c r="H378" s="93"/>
      <x:c r="I378" s="93"/>
      <x:c r="J378" s="93"/>
      <x:c r="K378" s="93"/>
    </x:row>
    <x:row r="379" s="92" customFormat="1" ht="7.900000095367432" customHeight="1">
      <x:c r="B379" s="93"/>
      <x:c r="C379" s="93"/>
      <x:c r="D379" s="93"/>
      <x:c r="E379" s="93"/>
      <x:c r="F379" s="93"/>
      <x:c r="G379" s="93"/>
      <x:c r="H379" s="93"/>
      <x:c r="I379" s="93"/>
      <x:c r="J379" s="93"/>
      <x:c r="K379" s="93"/>
    </x:row>
    <x:row r="380" s="92" customFormat="1" ht="7.900000095367432" customHeight="1">
      <x:c r="B380" s="93"/>
      <x:c r="C380" s="93"/>
      <x:c r="D380" s="93"/>
      <x:c r="E380" s="93"/>
      <x:c r="F380" s="93"/>
      <x:c r="G380" s="93"/>
      <x:c r="H380" s="93"/>
      <x:c r="I380" s="93"/>
      <x:c r="J380" s="93"/>
      <x:c r="K380" s="93"/>
    </x:row>
    <x:row r="381" s="92" customFormat="1" ht="7.900000095367432" customHeight="1">
      <x:c r="B381" s="93"/>
      <x:c r="C381" s="93"/>
      <x:c r="D381" s="93"/>
      <x:c r="E381" s="93"/>
      <x:c r="F381" s="93"/>
      <x:c r="G381" s="93"/>
      <x:c r="H381" s="93"/>
      <x:c r="I381" s="93"/>
      <x:c r="J381" s="93"/>
      <x:c r="K381" s="93"/>
    </x:row>
    <x:row r="382" s="92" customFormat="1" ht="7.900000095367432" customHeight="1">
      <x:c r="B382" s="93"/>
      <x:c r="C382" s="93"/>
      <x:c r="D382" s="93"/>
      <x:c r="E382" s="93"/>
      <x:c r="F382" s="93"/>
      <x:c r="G382" s="93"/>
      <x:c r="H382" s="93"/>
      <x:c r="I382" s="93"/>
      <x:c r="J382" s="93"/>
      <x:c r="K382" s="93"/>
    </x:row>
    <x:row r="383" s="92" customFormat="1" ht="7.900000095367432" customHeight="1">
      <x:c r="B383" s="93"/>
      <x:c r="C383" s="93"/>
      <x:c r="D383" s="93"/>
      <x:c r="E383" s="93"/>
      <x:c r="F383" s="93"/>
      <x:c r="G383" s="93"/>
      <x:c r="H383" s="93"/>
      <x:c r="I383" s="93"/>
      <x:c r="J383" s="93"/>
      <x:c r="K383" s="93"/>
    </x:row>
    <x:row r="384" s="92" customFormat="1" ht="7.900000095367432" customHeight="1">
      <x:c r="B384" s="93"/>
      <x:c r="C384" s="93"/>
      <x:c r="D384" s="93"/>
      <x:c r="E384" s="93"/>
      <x:c r="F384" s="93"/>
      <x:c r="G384" s="93"/>
      <x:c r="H384" s="93"/>
      <x:c r="I384" s="93"/>
      <x:c r="J384" s="93"/>
      <x:c r="K384" s="93"/>
    </x:row>
    <x:row r="385" s="92" customFormat="1" ht="7.900000095367432" customHeight="1">
      <x:c r="B385" s="93"/>
      <x:c r="C385" s="93"/>
      <x:c r="D385" s="93"/>
      <x:c r="E385" s="93"/>
      <x:c r="F385" s="93"/>
      <x:c r="G385" s="93"/>
      <x:c r="H385" s="93"/>
      <x:c r="I385" s="93"/>
      <x:c r="J385" s="93"/>
      <x:c r="K385" s="93"/>
    </x:row>
    <x:row r="386" s="92" customFormat="1" ht="7.900000095367432" customHeight="1">
      <x:c r="B386" s="93"/>
      <x:c r="C386" s="93"/>
      <x:c r="D386" s="93"/>
      <x:c r="E386" s="93"/>
      <x:c r="F386" s="93"/>
      <x:c r="G386" s="93"/>
      <x:c r="H386" s="93"/>
      <x:c r="I386" s="93"/>
      <x:c r="J386" s="93"/>
      <x:c r="K386" s="93"/>
    </x:row>
    <x:row r="387" s="92" customFormat="1" ht="7.900000095367432" customHeight="1">
      <x:c r="B387" s="93"/>
      <x:c r="C387" s="93"/>
      <x:c r="D387" s="93"/>
      <x:c r="E387" s="93"/>
      <x:c r="F387" s="93"/>
      <x:c r="G387" s="93"/>
      <x:c r="H387" s="93"/>
      <x:c r="I387" s="93"/>
      <x:c r="J387" s="93"/>
      <x:c r="K387" s="93"/>
    </x:row>
    <x:row r="388" s="92" customFormat="1" ht="7.900000095367432" customHeight="1">
      <x:c r="B388" s="93"/>
      <x:c r="C388" s="93"/>
      <x:c r="D388" s="93"/>
      <x:c r="E388" s="93"/>
      <x:c r="F388" s="93"/>
      <x:c r="G388" s="93"/>
      <x:c r="H388" s="93"/>
      <x:c r="I388" s="93"/>
      <x:c r="J388" s="93"/>
      <x:c r="K388" s="93"/>
    </x:row>
    <x:row r="389" s="92" customFormat="1" ht="7.900000095367432" customHeight="1">
      <x:c r="B389" s="93"/>
      <x:c r="C389" s="93"/>
      <x:c r="D389" s="93"/>
      <x:c r="E389" s="93"/>
      <x:c r="F389" s="93"/>
      <x:c r="G389" s="93"/>
      <x:c r="H389" s="93"/>
      <x:c r="I389" s="93"/>
      <x:c r="J389" s="93"/>
      <x:c r="K389" s="93"/>
    </x:row>
    <x:row r="390" s="92" customFormat="1" ht="7.900000095367432" customHeight="1">
      <x:c r="B390" s="93"/>
      <x:c r="C390" s="93"/>
      <x:c r="D390" s="93"/>
      <x:c r="E390" s="93"/>
      <x:c r="F390" s="93"/>
      <x:c r="G390" s="93"/>
      <x:c r="H390" s="93"/>
      <x:c r="I390" s="93"/>
      <x:c r="J390" s="93"/>
      <x:c r="K390" s="93"/>
    </x:row>
    <x:row r="391" s="92" customFormat="1" ht="7.900000095367432" customHeight="1">
      <x:c r="B391" s="93"/>
      <x:c r="C391" s="93"/>
      <x:c r="D391" s="93"/>
      <x:c r="E391" s="93"/>
      <x:c r="F391" s="93"/>
      <x:c r="G391" s="93"/>
      <x:c r="H391" s="93"/>
      <x:c r="I391" s="93"/>
      <x:c r="J391" s="93"/>
      <x:c r="K391" s="93"/>
    </x:row>
    <x:row r="392" s="92" customFormat="1" ht="7.900000095367432" customHeight="1">
      <x:c r="B392" s="93"/>
      <x:c r="C392" s="93"/>
      <x:c r="D392" s="93"/>
      <x:c r="E392" s="93"/>
      <x:c r="F392" s="93"/>
      <x:c r="G392" s="93"/>
      <x:c r="H392" s="93"/>
      <x:c r="I392" s="93"/>
      <x:c r="J392" s="93"/>
      <x:c r="K392" s="93"/>
    </x:row>
    <x:row r="393" s="92" customFormat="1" ht="7.900000095367432" customHeight="1">
      <x:c r="B393" s="93"/>
      <x:c r="C393" s="93"/>
      <x:c r="D393" s="93"/>
      <x:c r="E393" s="93"/>
      <x:c r="F393" s="93"/>
      <x:c r="G393" s="93"/>
      <x:c r="H393" s="93"/>
      <x:c r="I393" s="93"/>
      <x:c r="J393" s="93"/>
      <x:c r="K393" s="93"/>
    </x:row>
    <x:row r="394" s="92" customFormat="1" ht="7.900000095367432" customHeight="1">
      <x:c r="B394" s="93"/>
      <x:c r="C394" s="93"/>
      <x:c r="D394" s="93"/>
      <x:c r="E394" s="93"/>
      <x:c r="F394" s="93"/>
      <x:c r="G394" s="93"/>
      <x:c r="H394" s="93"/>
      <x:c r="I394" s="93"/>
      <x:c r="J394" s="93"/>
      <x:c r="K394" s="93"/>
    </x:row>
    <x:row r="395" s="92" customFormat="1" ht="7.900000095367432" customHeight="1">
      <x:c r="B395" s="93"/>
      <x:c r="C395" s="93"/>
      <x:c r="D395" s="93"/>
      <x:c r="E395" s="93"/>
      <x:c r="F395" s="93"/>
      <x:c r="G395" s="93"/>
      <x:c r="H395" s="93"/>
      <x:c r="I395" s="93"/>
      <x:c r="J395" s="93"/>
      <x:c r="K395" s="93"/>
    </x:row>
    <x:row r="396" s="92" customFormat="1" ht="7.900000095367432" customHeight="1">
      <x:c r="B396" s="93"/>
      <x:c r="C396" s="93"/>
      <x:c r="D396" s="93"/>
      <x:c r="E396" s="93"/>
      <x:c r="F396" s="93"/>
      <x:c r="G396" s="93"/>
      <x:c r="H396" s="93"/>
      <x:c r="I396" s="93"/>
      <x:c r="J396" s="93"/>
      <x:c r="K396" s="93"/>
    </x:row>
    <x:row r="397" s="92" customFormat="1" ht="7.900000095367432" customHeight="1">
      <x:c r="B397" s="93"/>
      <x:c r="C397" s="93"/>
      <x:c r="D397" s="93"/>
      <x:c r="E397" s="93"/>
      <x:c r="F397" s="93"/>
      <x:c r="G397" s="93"/>
      <x:c r="H397" s="93"/>
      <x:c r="I397" s="93"/>
      <x:c r="J397" s="93"/>
      <x:c r="K397" s="93"/>
    </x:row>
    <x:row r="398" s="92" customFormat="1" ht="7.900000095367432" customHeight="1">
      <x:c r="B398" s="93"/>
      <x:c r="C398" s="93"/>
      <x:c r="D398" s="93"/>
      <x:c r="E398" s="93"/>
      <x:c r="F398" s="93"/>
      <x:c r="G398" s="93"/>
      <x:c r="H398" s="93"/>
      <x:c r="I398" s="93"/>
      <x:c r="J398" s="93"/>
      <x:c r="K398" s="93"/>
    </x:row>
    <x:row r="399" s="92" customFormat="1" ht="7.900000095367432" customHeight="1">
      <x:c r="B399" s="93"/>
      <x:c r="C399" s="93"/>
      <x:c r="D399" s="93"/>
      <x:c r="E399" s="93"/>
      <x:c r="F399" s="93"/>
      <x:c r="G399" s="93"/>
      <x:c r="H399" s="93"/>
      <x:c r="I399" s="93"/>
      <x:c r="J399" s="93"/>
      <x:c r="K399" s="93"/>
    </x:row>
    <x:row r="400" s="92" customFormat="1" ht="7.900000095367432" customHeight="1">
      <x:c r="B400" s="93"/>
      <x:c r="C400" s="93"/>
      <x:c r="D400" s="93"/>
      <x:c r="E400" s="93"/>
      <x:c r="F400" s="93"/>
      <x:c r="G400" s="93"/>
      <x:c r="H400" s="93"/>
      <x:c r="I400" s="93"/>
      <x:c r="J400" s="93"/>
      <x:c r="K400" s="93"/>
    </x:row>
    <x:row r="401" s="92" customFormat="1" ht="7.900000095367432" customHeight="1">
      <x:c r="B401" s="93"/>
      <x:c r="C401" s="93"/>
      <x:c r="D401" s="93"/>
      <x:c r="E401" s="93"/>
      <x:c r="F401" s="93"/>
      <x:c r="G401" s="93"/>
      <x:c r="H401" s="93"/>
      <x:c r="I401" s="93"/>
      <x:c r="J401" s="93"/>
      <x:c r="K401" s="93"/>
    </x:row>
    <x:row r="402" s="92" customFormat="1" ht="7.900000095367432" customHeight="1">
      <x:c r="B402" s="93"/>
      <x:c r="C402" s="93"/>
      <x:c r="D402" s="93"/>
      <x:c r="E402" s="93"/>
      <x:c r="F402" s="93"/>
      <x:c r="G402" s="93"/>
      <x:c r="H402" s="93"/>
      <x:c r="I402" s="93"/>
      <x:c r="J402" s="93"/>
      <x:c r="K402" s="93"/>
    </x:row>
    <x:row r="403" s="92" customFormat="1" ht="7.900000095367432" customHeight="1">
      <x:c r="B403" s="93"/>
      <x:c r="C403" s="93"/>
      <x:c r="D403" s="93"/>
      <x:c r="E403" s="93"/>
      <x:c r="F403" s="93"/>
      <x:c r="G403" s="93"/>
      <x:c r="H403" s="93"/>
      <x:c r="I403" s="93"/>
      <x:c r="J403" s="93"/>
      <x:c r="K403" s="93"/>
    </x:row>
    <x:row r="404" s="92" customFormat="1" ht="7.900000095367432" customHeight="1">
      <x:c r="B404" s="93"/>
      <x:c r="C404" s="93"/>
      <x:c r="D404" s="93"/>
      <x:c r="E404" s="93"/>
      <x:c r="F404" s="93"/>
      <x:c r="G404" s="93"/>
      <x:c r="H404" s="93"/>
      <x:c r="I404" s="93"/>
      <x:c r="J404" s="93"/>
      <x:c r="K404" s="93"/>
    </x:row>
    <x:row r="405" s="92" customFormat="1" ht="7.900000095367432" customHeight="1">
      <x:c r="B405" s="93"/>
      <x:c r="C405" s="93"/>
      <x:c r="D405" s="93"/>
      <x:c r="E405" s="93"/>
      <x:c r="F405" s="93"/>
      <x:c r="G405" s="93"/>
      <x:c r="H405" s="93"/>
      <x:c r="I405" s="93"/>
      <x:c r="J405" s="93"/>
      <x:c r="K405" s="93"/>
    </x:row>
    <x:row r="406" s="92" customFormat="1" ht="7.900000095367432" customHeight="1">
      <x:c r="B406" s="93"/>
      <x:c r="C406" s="93"/>
      <x:c r="D406" s="93"/>
      <x:c r="E406" s="93"/>
      <x:c r="F406" s="93"/>
      <x:c r="G406" s="93"/>
      <x:c r="H406" s="93"/>
      <x:c r="I406" s="93"/>
      <x:c r="J406" s="93"/>
      <x:c r="K406" s="93"/>
    </x:row>
    <x:row r="407" s="92" customFormat="1" ht="7.900000095367432" customHeight="1">
      <x:c r="B407" s="93"/>
      <x:c r="C407" s="93"/>
      <x:c r="D407" s="93"/>
      <x:c r="E407" s="93"/>
      <x:c r="F407" s="93"/>
      <x:c r="G407" s="93"/>
      <x:c r="H407" s="93"/>
      <x:c r="I407" s="93"/>
      <x:c r="J407" s="93"/>
      <x:c r="K407" s="93"/>
    </x:row>
    <x:row r="408" s="92" customFormat="1" ht="7.900000095367432" customHeight="1">
      <x:c r="B408" s="93"/>
      <x:c r="C408" s="93"/>
      <x:c r="D408" s="93"/>
      <x:c r="E408" s="93"/>
      <x:c r="F408" s="93"/>
      <x:c r="G408" s="93"/>
      <x:c r="H408" s="93"/>
      <x:c r="I408" s="93"/>
      <x:c r="J408" s="93"/>
      <x:c r="K408" s="93"/>
    </x:row>
    <x:row r="409" s="92" customFormat="1" ht="7.900000095367432" customHeight="1">
      <x:c r="B409" s="93"/>
      <x:c r="C409" s="93"/>
      <x:c r="D409" s="93"/>
      <x:c r="E409" s="93"/>
      <x:c r="F409" s="93"/>
      <x:c r="G409" s="93"/>
      <x:c r="H409" s="93"/>
      <x:c r="I409" s="93"/>
      <x:c r="J409" s="93"/>
      <x:c r="K409" s="93"/>
    </x:row>
    <x:row r="410" s="92" customFormat="1" ht="7.900000095367432" customHeight="1">
      <x:c r="B410" s="93"/>
      <x:c r="C410" s="93"/>
      <x:c r="D410" s="93"/>
      <x:c r="E410" s="93"/>
      <x:c r="F410" s="93"/>
      <x:c r="G410" s="93"/>
      <x:c r="H410" s="93"/>
      <x:c r="I410" s="93"/>
      <x:c r="J410" s="93"/>
      <x:c r="K410" s="93"/>
    </x:row>
    <x:row r="411" s="92" customFormat="1" ht="7.900000095367432" customHeight="1">
      <x:c r="B411" s="93"/>
      <x:c r="C411" s="93"/>
      <x:c r="D411" s="93"/>
      <x:c r="E411" s="93"/>
      <x:c r="F411" s="93"/>
      <x:c r="G411" s="93"/>
      <x:c r="H411" s="93"/>
      <x:c r="I411" s="93"/>
      <x:c r="J411" s="93"/>
      <x:c r="K411" s="93"/>
    </x:row>
    <x:row r="412" s="92" customFormat="1" ht="7.900000095367432" customHeight="1">
      <x:c r="B412" s="93"/>
      <x:c r="C412" s="93"/>
      <x:c r="D412" s="93"/>
      <x:c r="E412" s="93"/>
      <x:c r="F412" s="93"/>
      <x:c r="G412" s="93"/>
      <x:c r="H412" s="93"/>
      <x:c r="I412" s="93"/>
      <x:c r="J412" s="93"/>
      <x:c r="K412" s="93"/>
    </x:row>
    <x:row r="413" s="92" customFormat="1" ht="7.900000095367432" customHeight="1">
      <x:c r="B413" s="93"/>
      <x:c r="C413" s="93"/>
      <x:c r="D413" s="93"/>
      <x:c r="E413" s="93"/>
      <x:c r="F413" s="93"/>
      <x:c r="G413" s="93"/>
      <x:c r="H413" s="93"/>
      <x:c r="I413" s="93"/>
      <x:c r="J413" s="93"/>
      <x:c r="K413" s="93"/>
    </x:row>
    <x:row r="414" s="92" customFormat="1" ht="7.900000095367432" customHeight="1">
      <x:c r="B414" s="93"/>
      <x:c r="C414" s="93"/>
      <x:c r="D414" s="93"/>
      <x:c r="E414" s="93"/>
      <x:c r="F414" s="93"/>
      <x:c r="G414" s="93"/>
      <x:c r="H414" s="93"/>
      <x:c r="I414" s="93"/>
      <x:c r="J414" s="93"/>
      <x:c r="K414" s="93"/>
    </x:row>
    <x:row r="415" s="92" customFormat="1" ht="7.900000095367432" customHeight="1">
      <x:c r="B415" s="93"/>
      <x:c r="C415" s="93"/>
      <x:c r="D415" s="93"/>
      <x:c r="E415" s="93"/>
      <x:c r="F415" s="93"/>
      <x:c r="G415" s="93"/>
      <x:c r="H415" s="93"/>
      <x:c r="I415" s="93"/>
      <x:c r="J415" s="93"/>
      <x:c r="K415" s="93"/>
    </x:row>
    <x:row r="416" s="92" customFormat="1" ht="7.900000095367432" customHeight="1">
      <x:c r="B416" s="93"/>
      <x:c r="C416" s="93"/>
      <x:c r="D416" s="93"/>
      <x:c r="E416" s="93"/>
      <x:c r="F416" s="93"/>
      <x:c r="G416" s="93"/>
      <x:c r="H416" s="93"/>
      <x:c r="I416" s="93"/>
      <x:c r="J416" s="93"/>
      <x:c r="K416" s="93"/>
    </x:row>
    <x:row r="417" s="92" customFormat="1" ht="7.900000095367432" customHeight="1">
      <x:c r="B417" s="93"/>
      <x:c r="C417" s="93"/>
      <x:c r="D417" s="93"/>
      <x:c r="E417" s="93"/>
      <x:c r="F417" s="93"/>
      <x:c r="G417" s="93"/>
      <x:c r="H417" s="93"/>
      <x:c r="I417" s="93"/>
      <x:c r="J417" s="93"/>
      <x:c r="K417" s="93"/>
    </x:row>
    <x:row r="418" s="92" customFormat="1" ht="7.900000095367432" customHeight="1">
      <x:c r="B418" s="93"/>
      <x:c r="C418" s="93"/>
      <x:c r="D418" s="93"/>
      <x:c r="E418" s="93"/>
      <x:c r="F418" s="93"/>
      <x:c r="G418" s="93"/>
      <x:c r="H418" s="93"/>
      <x:c r="I418" s="93"/>
      <x:c r="J418" s="93"/>
      <x:c r="K418" s="93"/>
    </x:row>
    <x:row r="419" s="92" customFormat="1" ht="7.900000095367432" customHeight="1">
      <x:c r="B419" s="93"/>
      <x:c r="C419" s="93"/>
      <x:c r="D419" s="93"/>
      <x:c r="E419" s="93"/>
      <x:c r="F419" s="93"/>
      <x:c r="G419" s="93"/>
      <x:c r="H419" s="93"/>
      <x:c r="I419" s="93"/>
      <x:c r="J419" s="93"/>
      <x:c r="K419" s="93"/>
    </x:row>
    <x:row r="420" s="92" customFormat="1" ht="7.900000095367432" customHeight="1">
      <x:c r="B420" s="93"/>
      <x:c r="C420" s="93"/>
      <x:c r="D420" s="93"/>
      <x:c r="E420" s="93"/>
      <x:c r="F420" s="93"/>
      <x:c r="G420" s="93"/>
      <x:c r="H420" s="93"/>
      <x:c r="I420" s="93"/>
      <x:c r="J420" s="93"/>
      <x:c r="K420" s="93"/>
    </x:row>
    <x:row r="421" s="92" customFormat="1" ht="7.900000095367432" customHeight="1">
      <x:c r="B421" s="93"/>
      <x:c r="C421" s="93"/>
      <x:c r="D421" s="93"/>
      <x:c r="E421" s="93"/>
      <x:c r="F421" s="93"/>
      <x:c r="G421" s="93"/>
      <x:c r="H421" s="93"/>
      <x:c r="I421" s="93"/>
      <x:c r="J421" s="93"/>
      <x:c r="K421" s="93"/>
    </x:row>
    <x:row r="422" s="92" customFormat="1" ht="7.900000095367432" customHeight="1">
      <x:c r="B422" s="93"/>
      <x:c r="C422" s="93"/>
      <x:c r="D422" s="93"/>
      <x:c r="E422" s="93"/>
      <x:c r="F422" s="93"/>
      <x:c r="G422" s="93"/>
      <x:c r="H422" s="93"/>
      <x:c r="I422" s="93"/>
      <x:c r="J422" s="93"/>
      <x:c r="K422" s="93"/>
    </x:row>
    <x:row r="423" s="92" customFormat="1" ht="7.900000095367432" customHeight="1">
      <x:c r="B423" s="93"/>
      <x:c r="C423" s="93"/>
      <x:c r="D423" s="93"/>
      <x:c r="E423" s="93"/>
      <x:c r="F423" s="93"/>
      <x:c r="G423" s="93"/>
      <x:c r="H423" s="93"/>
      <x:c r="I423" s="93"/>
      <x:c r="J423" s="93"/>
      <x:c r="K423" s="93"/>
    </x:row>
    <x:row r="424" s="92" customFormat="1" ht="7.900000095367432" customHeight="1">
      <x:c r="B424" s="93"/>
      <x:c r="C424" s="93"/>
      <x:c r="D424" s="93"/>
      <x:c r="E424" s="93"/>
      <x:c r="F424" s="93"/>
      <x:c r="G424" s="93"/>
      <x:c r="H424" s="93"/>
      <x:c r="I424" s="93"/>
      <x:c r="J424" s="93"/>
      <x:c r="K424" s="93"/>
    </x:row>
    <x:row r="425" s="92" customFormat="1" ht="7.900000095367432" customHeight="1">
      <x:c r="B425" s="93"/>
      <x:c r="C425" s="93"/>
      <x:c r="D425" s="93"/>
      <x:c r="E425" s="93"/>
      <x:c r="F425" s="93"/>
      <x:c r="G425" s="93"/>
      <x:c r="H425" s="93"/>
      <x:c r="I425" s="93"/>
      <x:c r="J425" s="93"/>
      <x:c r="K425" s="93"/>
    </x:row>
    <x:row r="426" s="92" customFormat="1" ht="7.900000095367432" customHeight="1">
      <x:c r="B426" s="93"/>
      <x:c r="C426" s="93"/>
      <x:c r="D426" s="93"/>
      <x:c r="E426" s="93"/>
      <x:c r="F426" s="93"/>
      <x:c r="G426" s="93"/>
      <x:c r="H426" s="93"/>
      <x:c r="I426" s="93"/>
      <x:c r="J426" s="93"/>
      <x:c r="K426" s="93"/>
    </x:row>
    <x:row r="427" s="92" customFormat="1" ht="7.900000095367432" customHeight="1">
      <x:c r="B427" s="93"/>
      <x:c r="C427" s="93"/>
      <x:c r="D427" s="93"/>
      <x:c r="E427" s="93"/>
      <x:c r="F427" s="93"/>
      <x:c r="G427" s="93"/>
      <x:c r="H427" s="93"/>
      <x:c r="I427" s="93"/>
      <x:c r="J427" s="93"/>
      <x:c r="K427" s="93"/>
    </x:row>
    <x:row r="428" s="92" customFormat="1" ht="7.900000095367432" customHeight="1">
      <x:c r="B428" s="93"/>
      <x:c r="C428" s="93"/>
      <x:c r="D428" s="93"/>
      <x:c r="E428" s="93"/>
      <x:c r="F428" s="93"/>
      <x:c r="G428" s="93"/>
      <x:c r="H428" s="93"/>
      <x:c r="I428" s="93"/>
      <x:c r="J428" s="93"/>
      <x:c r="K428" s="93"/>
    </x:row>
    <x:row r="429" s="92" customFormat="1" ht="7.900000095367432" customHeight="1">
      <x:c r="B429" s="93"/>
      <x:c r="C429" s="93"/>
      <x:c r="D429" s="93"/>
      <x:c r="E429" s="93"/>
      <x:c r="F429" s="93"/>
      <x:c r="G429" s="93"/>
      <x:c r="H429" s="93"/>
      <x:c r="I429" s="93"/>
      <x:c r="J429" s="93"/>
      <x:c r="K429" s="93"/>
    </x:row>
    <x:row r="430" s="92" customFormat="1" ht="7.900000095367432" customHeight="1">
      <x:c r="B430" s="93"/>
      <x:c r="C430" s="93"/>
      <x:c r="D430" s="93"/>
      <x:c r="E430" s="93"/>
      <x:c r="F430" s="93"/>
      <x:c r="G430" s="93"/>
      <x:c r="H430" s="93"/>
      <x:c r="I430" s="93"/>
      <x:c r="J430" s="93"/>
      <x:c r="K430" s="93"/>
    </x:row>
    <x:row r="431" s="92" customFormat="1" ht="7.900000095367432" customHeight="1">
      <x:c r="B431" s="93"/>
      <x:c r="C431" s="93"/>
      <x:c r="D431" s="93"/>
      <x:c r="E431" s="93"/>
      <x:c r="F431" s="93"/>
      <x:c r="G431" s="93"/>
      <x:c r="H431" s="93"/>
      <x:c r="I431" s="93"/>
      <x:c r="J431" s="93"/>
      <x:c r="K431" s="93"/>
    </x:row>
    <x:row r="432" s="92" customFormat="1" ht="7.900000095367432" customHeight="1">
      <x:c r="B432" s="93"/>
      <x:c r="C432" s="93"/>
      <x:c r="D432" s="93"/>
      <x:c r="E432" s="93"/>
      <x:c r="F432" s="93"/>
      <x:c r="G432" s="93"/>
      <x:c r="H432" s="93"/>
      <x:c r="I432" s="93"/>
      <x:c r="J432" s="93"/>
      <x:c r="K432" s="93"/>
    </x:row>
    <x:row r="433" s="92" customFormat="1" ht="7.900000095367432" customHeight="1">
      <x:c r="B433" s="93"/>
      <x:c r="C433" s="93"/>
      <x:c r="D433" s="93"/>
      <x:c r="E433" s="93"/>
      <x:c r="F433" s="93"/>
      <x:c r="G433" s="93"/>
      <x:c r="H433" s="93"/>
      <x:c r="I433" s="93"/>
      <x:c r="J433" s="93"/>
      <x:c r="K433" s="93"/>
    </x:row>
    <x:row r="434" s="92" customFormat="1" ht="7.900000095367432" customHeight="1">
      <x:c r="B434" s="93"/>
      <x:c r="C434" s="93"/>
      <x:c r="D434" s="93"/>
      <x:c r="E434" s="93"/>
      <x:c r="F434" s="93"/>
      <x:c r="G434" s="93"/>
      <x:c r="H434" s="93"/>
      <x:c r="I434" s="93"/>
      <x:c r="J434" s="93"/>
      <x:c r="K434" s="93"/>
    </x:row>
    <x:row r="435" s="92" customFormat="1" ht="7.900000095367432" customHeight="1">
      <x:c r="B435" s="93"/>
      <x:c r="C435" s="93"/>
      <x:c r="D435" s="93"/>
      <x:c r="E435" s="93"/>
      <x:c r="F435" s="93"/>
      <x:c r="G435" s="93"/>
      <x:c r="H435" s="93"/>
      <x:c r="I435" s="93"/>
      <x:c r="J435" s="93"/>
      <x:c r="K435" s="93"/>
    </x:row>
    <x:row r="436" s="92" customFormat="1" ht="7.900000095367432" customHeight="1">
      <x:c r="B436" s="93"/>
      <x:c r="C436" s="93"/>
      <x:c r="D436" s="93"/>
      <x:c r="E436" s="93"/>
      <x:c r="F436" s="93"/>
      <x:c r="G436" s="93"/>
      <x:c r="H436" s="93"/>
      <x:c r="I436" s="93"/>
      <x:c r="J436" s="93"/>
      <x:c r="K436" s="93"/>
    </x:row>
    <x:row r="437" s="92" customFormat="1" ht="7.900000095367432" customHeight="1">
      <x:c r="B437" s="93"/>
      <x:c r="C437" s="93"/>
      <x:c r="D437" s="93"/>
      <x:c r="E437" s="93"/>
      <x:c r="F437" s="93"/>
      <x:c r="G437" s="93"/>
      <x:c r="H437" s="93"/>
      <x:c r="I437" s="93"/>
      <x:c r="J437" s="93"/>
      <x:c r="K437" s="93"/>
    </x:row>
    <x:row r="438" s="92" customFormat="1" ht="7.900000095367432" customHeight="1">
      <x:c r="B438" s="93"/>
      <x:c r="C438" s="93"/>
      <x:c r="D438" s="93"/>
      <x:c r="E438" s="93"/>
      <x:c r="F438" s="93"/>
      <x:c r="G438" s="93"/>
      <x:c r="H438" s="93"/>
      <x:c r="I438" s="93"/>
      <x:c r="J438" s="93"/>
      <x:c r="K438" s="93"/>
    </x:row>
    <x:row r="439" s="92" customFormat="1" ht="7.900000095367432" customHeight="1">
      <x:c r="B439" s="93"/>
      <x:c r="C439" s="93"/>
      <x:c r="D439" s="93"/>
      <x:c r="E439" s="93"/>
      <x:c r="F439" s="93"/>
      <x:c r="G439" s="93"/>
      <x:c r="H439" s="93"/>
      <x:c r="I439" s="93"/>
      <x:c r="J439" s="93"/>
      <x:c r="K439" s="93"/>
    </x:row>
    <x:row r="440" s="92" customFormat="1" ht="7.900000095367432" customHeight="1">
      <x:c r="B440" s="93"/>
      <x:c r="C440" s="93"/>
      <x:c r="D440" s="93"/>
      <x:c r="E440" s="93"/>
      <x:c r="F440" s="93"/>
      <x:c r="G440" s="93"/>
      <x:c r="H440" s="93"/>
      <x:c r="I440" s="93"/>
      <x:c r="J440" s="93"/>
      <x:c r="K440" s="93"/>
    </x:row>
    <x:row r="441" s="92" customFormat="1" ht="7.900000095367432" customHeight="1">
      <x:c r="B441" s="93"/>
      <x:c r="C441" s="93"/>
      <x:c r="D441" s="93"/>
      <x:c r="E441" s="93"/>
      <x:c r="F441" s="93"/>
      <x:c r="G441" s="93"/>
      <x:c r="H441" s="93"/>
      <x:c r="I441" s="93"/>
      <x:c r="J441" s="93"/>
      <x:c r="K441" s="93"/>
    </x:row>
    <x:row r="442" s="92" customFormat="1" ht="7.900000095367432" customHeight="1">
      <x:c r="B442" s="93"/>
      <x:c r="C442" s="93"/>
      <x:c r="D442" s="93"/>
      <x:c r="E442" s="93"/>
      <x:c r="F442" s="93"/>
      <x:c r="G442" s="93"/>
      <x:c r="H442" s="93"/>
      <x:c r="I442" s="93"/>
      <x:c r="J442" s="93"/>
      <x:c r="K442" s="93"/>
    </x:row>
    <x:row r="443" s="92" customFormat="1" ht="7.900000095367432" customHeight="1">
      <x:c r="B443" s="93"/>
      <x:c r="C443" s="93"/>
      <x:c r="D443" s="93"/>
      <x:c r="E443" s="93"/>
      <x:c r="F443" s="93"/>
      <x:c r="G443" s="93"/>
      <x:c r="H443" s="93"/>
      <x:c r="I443" s="93"/>
      <x:c r="J443" s="93"/>
      <x:c r="K443" s="93"/>
    </x:row>
    <x:row r="444" s="92" customFormat="1" ht="7.900000095367432" customHeight="1">
      <x:c r="B444" s="93"/>
      <x:c r="C444" s="93"/>
      <x:c r="D444" s="93"/>
      <x:c r="E444" s="93"/>
      <x:c r="F444" s="93"/>
      <x:c r="G444" s="93"/>
      <x:c r="H444" s="93"/>
      <x:c r="I444" s="93"/>
      <x:c r="J444" s="93"/>
      <x:c r="K444" s="93"/>
    </x:row>
    <x:row r="445" s="92" customFormat="1" ht="7.900000095367432" customHeight="1">
      <x:c r="B445" s="93"/>
      <x:c r="C445" s="93"/>
      <x:c r="D445" s="93"/>
      <x:c r="E445" s="93"/>
      <x:c r="F445" s="93"/>
      <x:c r="G445" s="93"/>
      <x:c r="H445" s="93"/>
      <x:c r="I445" s="93"/>
      <x:c r="J445" s="93"/>
      <x:c r="K445" s="93"/>
    </x:row>
    <x:row r="446" s="92" customFormat="1" ht="7.900000095367432" customHeight="1">
      <x:c r="B446" s="93"/>
      <x:c r="C446" s="93"/>
      <x:c r="D446" s="93"/>
      <x:c r="E446" s="93"/>
      <x:c r="F446" s="93"/>
      <x:c r="G446" s="93"/>
      <x:c r="H446" s="93"/>
      <x:c r="I446" s="93"/>
      <x:c r="J446" s="93"/>
      <x:c r="K446" s="93"/>
    </x:row>
    <x:row r="447" s="92" customFormat="1" ht="7.900000095367432" customHeight="1">
      <x:c r="B447" s="93"/>
      <x:c r="C447" s="93"/>
      <x:c r="D447" s="93"/>
      <x:c r="E447" s="93"/>
      <x:c r="F447" s="93"/>
      <x:c r="G447" s="93"/>
      <x:c r="H447" s="93"/>
      <x:c r="I447" s="93"/>
      <x:c r="J447" s="93"/>
      <x:c r="K447" s="93"/>
    </x:row>
    <x:row r="448" s="92" customFormat="1" ht="7.900000095367432" customHeight="1">
      <x:c r="B448" s="93"/>
      <x:c r="C448" s="93"/>
      <x:c r="D448" s="93"/>
      <x:c r="E448" s="93"/>
      <x:c r="F448" s="93"/>
      <x:c r="G448" s="93"/>
      <x:c r="H448" s="93"/>
      <x:c r="I448" s="93"/>
      <x:c r="J448" s="93"/>
      <x:c r="K448" s="93"/>
    </x:row>
    <x:row r="449" s="92" customFormat="1" ht="7.900000095367432" customHeight="1">
      <x:c r="B449" s="93"/>
      <x:c r="C449" s="93"/>
      <x:c r="D449" s="93"/>
      <x:c r="E449" s="93"/>
      <x:c r="F449" s="93"/>
      <x:c r="G449" s="93"/>
      <x:c r="H449" s="93"/>
      <x:c r="I449" s="93"/>
      <x:c r="J449" s="93"/>
      <x:c r="K449" s="93"/>
    </x:row>
    <x:row r="450" s="92" customFormat="1" ht="7.900000095367432" customHeight="1">
      <x:c r="B450" s="93"/>
      <x:c r="C450" s="93"/>
      <x:c r="D450" s="93"/>
      <x:c r="E450" s="93"/>
      <x:c r="F450" s="93"/>
      <x:c r="G450" s="93"/>
      <x:c r="H450" s="93"/>
      <x:c r="I450" s="93"/>
      <x:c r="J450" s="93"/>
      <x:c r="K450" s="93"/>
    </x:row>
    <x:row r="451" s="92" customFormat="1" ht="7.900000095367432" customHeight="1">
      <x:c r="B451" s="93"/>
      <x:c r="C451" s="93"/>
      <x:c r="D451" s="93"/>
      <x:c r="E451" s="93"/>
      <x:c r="F451" s="93"/>
      <x:c r="G451" s="93"/>
      <x:c r="H451" s="93"/>
      <x:c r="I451" s="93"/>
      <x:c r="J451" s="93"/>
      <x:c r="K451" s="93"/>
    </x:row>
    <x:row r="452" s="92" customFormat="1" ht="7.900000095367432" customHeight="1">
      <x:c r="B452" s="93"/>
      <x:c r="C452" s="93"/>
      <x:c r="D452" s="93"/>
      <x:c r="E452" s="93"/>
      <x:c r="F452" s="93"/>
      <x:c r="G452" s="93"/>
      <x:c r="H452" s="93"/>
      <x:c r="I452" s="93"/>
      <x:c r="J452" s="93"/>
      <x:c r="K452" s="93"/>
    </x:row>
    <x:row r="453" s="92" customFormat="1" ht="7.900000095367432" customHeight="1">
      <x:c r="B453" s="93"/>
      <x:c r="C453" s="93"/>
      <x:c r="D453" s="93"/>
      <x:c r="E453" s="93"/>
      <x:c r="F453" s="93"/>
      <x:c r="G453" s="93"/>
      <x:c r="H453" s="93"/>
      <x:c r="I453" s="93"/>
      <x:c r="J453" s="93"/>
      <x:c r="K453" s="93"/>
    </x:row>
    <x:row r="454" s="92" customFormat="1" ht="7.900000095367432" customHeight="1">
      <x:c r="B454" s="93"/>
      <x:c r="C454" s="93"/>
      <x:c r="D454" s="93"/>
      <x:c r="E454" s="93"/>
      <x:c r="F454" s="93"/>
      <x:c r="G454" s="93"/>
      <x:c r="H454" s="93"/>
      <x:c r="I454" s="93"/>
      <x:c r="J454" s="93"/>
      <x:c r="K454" s="93"/>
    </x:row>
    <x:row r="455" s="92" customFormat="1" ht="7.900000095367432" customHeight="1">
      <x:c r="B455" s="93"/>
      <x:c r="C455" s="93"/>
      <x:c r="D455" s="93"/>
      <x:c r="E455" s="93"/>
      <x:c r="F455" s="93"/>
      <x:c r="G455" s="93"/>
      <x:c r="H455" s="93"/>
      <x:c r="I455" s="93"/>
      <x:c r="J455" s="93"/>
      <x:c r="K455" s="93"/>
    </x:row>
    <x:row r="456" s="92" customFormat="1" ht="7.900000095367432" customHeight="1">
      <x:c r="B456" s="93"/>
      <x:c r="C456" s="93"/>
      <x:c r="D456" s="93"/>
      <x:c r="E456" s="93"/>
      <x:c r="F456" s="93"/>
      <x:c r="G456" s="93"/>
      <x:c r="H456" s="93"/>
      <x:c r="I456" s="93"/>
      <x:c r="J456" s="93"/>
      <x:c r="K456" s="93"/>
    </x:row>
    <x:row r="457" s="92" customFormat="1" ht="7.900000095367432" customHeight="1">
      <x:c r="B457" s="93"/>
      <x:c r="C457" s="93"/>
      <x:c r="D457" s="93"/>
      <x:c r="E457" s="93"/>
      <x:c r="F457" s="93"/>
      <x:c r="G457" s="93"/>
      <x:c r="H457" s="93"/>
      <x:c r="I457" s="93"/>
      <x:c r="J457" s="93"/>
      <x:c r="K457" s="93"/>
    </x:row>
    <x:row r="458" s="92" customFormat="1" ht="7.900000095367432" customHeight="1">
      <x:c r="B458" s="93"/>
      <x:c r="C458" s="93"/>
      <x:c r="D458" s="93"/>
      <x:c r="E458" s="93"/>
      <x:c r="F458" s="93"/>
      <x:c r="G458" s="93"/>
      <x:c r="H458" s="93"/>
      <x:c r="I458" s="93"/>
      <x:c r="J458" s="93"/>
      <x:c r="K458" s="93"/>
    </x:row>
    <x:row r="459" s="92" customFormat="1" ht="7.900000095367432" customHeight="1">
      <x:c r="B459" s="93"/>
      <x:c r="C459" s="93"/>
      <x:c r="D459" s="93"/>
      <x:c r="E459" s="93"/>
      <x:c r="F459" s="93"/>
      <x:c r="G459" s="93"/>
      <x:c r="H459" s="93"/>
      <x:c r="I459" s="93"/>
      <x:c r="J459" s="93"/>
      <x:c r="K459" s="93"/>
    </x:row>
    <x:row r="460" s="92" customFormat="1" ht="7.900000095367432" customHeight="1">
      <x:c r="B460" s="93"/>
      <x:c r="C460" s="93"/>
      <x:c r="D460" s="93"/>
      <x:c r="E460" s="93"/>
      <x:c r="F460" s="93"/>
      <x:c r="G460" s="93"/>
      <x:c r="H460" s="93"/>
      <x:c r="I460" s="93"/>
      <x:c r="J460" s="93"/>
      <x:c r="K460" s="93"/>
    </x:row>
    <x:row r="461" s="92" customFormat="1" ht="7.900000095367432" customHeight="1">
      <x:c r="B461" s="93"/>
      <x:c r="C461" s="93"/>
      <x:c r="D461" s="93"/>
      <x:c r="E461" s="93"/>
      <x:c r="F461" s="93"/>
      <x:c r="G461" s="93"/>
      <x:c r="H461" s="93"/>
      <x:c r="I461" s="93"/>
      <x:c r="J461" s="93"/>
      <x:c r="K461" s="93"/>
    </x:row>
    <x:row r="462" s="92" customFormat="1" ht="7.900000095367432" customHeight="1">
      <x:c r="B462" s="93"/>
      <x:c r="C462" s="93"/>
      <x:c r="D462" s="93"/>
      <x:c r="E462" s="93"/>
      <x:c r="F462" s="93"/>
      <x:c r="G462" s="93"/>
      <x:c r="H462" s="93"/>
      <x:c r="I462" s="93"/>
      <x:c r="J462" s="93"/>
      <x:c r="K462" s="93"/>
    </x:row>
    <x:row r="463" s="92" customFormat="1" ht="7.900000095367432" customHeight="1">
      <x:c r="B463" s="93"/>
      <x:c r="C463" s="93"/>
      <x:c r="D463" s="93"/>
      <x:c r="E463" s="93"/>
      <x:c r="F463" s="93"/>
      <x:c r="G463" s="93"/>
      <x:c r="H463" s="93"/>
      <x:c r="I463" s="93"/>
      <x:c r="J463" s="93"/>
      <x:c r="K463" s="93"/>
    </x:row>
    <x:row r="464" s="92" customFormat="1" ht="7.900000095367432" customHeight="1">
      <x:c r="B464" s="93"/>
      <x:c r="C464" s="93"/>
      <x:c r="D464" s="93"/>
      <x:c r="E464" s="93"/>
      <x:c r="F464" s="93"/>
      <x:c r="G464" s="93"/>
      <x:c r="H464" s="93"/>
      <x:c r="I464" s="93"/>
      <x:c r="J464" s="93"/>
      <x:c r="K464" s="93"/>
    </x:row>
    <x:row r="465" s="92" customFormat="1" ht="7.900000095367432" customHeight="1">
      <x:c r="B465" s="93"/>
      <x:c r="C465" s="93"/>
      <x:c r="D465" s="93"/>
      <x:c r="E465" s="93"/>
      <x:c r="F465" s="93"/>
      <x:c r="G465" s="93"/>
      <x:c r="H465" s="93"/>
      <x:c r="I465" s="93"/>
      <x:c r="J465" s="93"/>
      <x:c r="K465" s="93"/>
    </x:row>
    <x:row r="466" s="92" customFormat="1" ht="7.900000095367432" customHeight="1">
      <x:c r="B466" s="93"/>
      <x:c r="C466" s="93"/>
      <x:c r="D466" s="93"/>
      <x:c r="E466" s="93"/>
      <x:c r="F466" s="93"/>
      <x:c r="G466" s="93"/>
      <x:c r="H466" s="93"/>
      <x:c r="I466" s="93"/>
      <x:c r="J466" s="93"/>
      <x:c r="K466" s="93"/>
    </x:row>
    <x:row r="467" s="92" customFormat="1" ht="7.900000095367432" customHeight="1">
      <x:c r="B467" s="93"/>
      <x:c r="C467" s="93"/>
      <x:c r="D467" s="93"/>
      <x:c r="E467" s="93"/>
      <x:c r="F467" s="93"/>
      <x:c r="G467" s="93"/>
      <x:c r="H467" s="93"/>
      <x:c r="I467" s="93"/>
      <x:c r="J467" s="93"/>
      <x:c r="K467" s="93"/>
    </x:row>
    <x:row r="468" s="92" customFormat="1" ht="7.900000095367432" customHeight="1">
      <x:c r="B468" s="93"/>
      <x:c r="C468" s="93"/>
      <x:c r="D468" s="93"/>
      <x:c r="E468" s="93"/>
      <x:c r="F468" s="93"/>
      <x:c r="G468" s="93"/>
      <x:c r="H468" s="93"/>
      <x:c r="I468" s="93"/>
      <x:c r="J468" s="93"/>
      <x:c r="K468" s="93"/>
    </x:row>
    <x:row r="469" s="92" customFormat="1" ht="7.900000095367432" customHeight="1">
      <x:c r="B469" s="93"/>
      <x:c r="C469" s="93"/>
      <x:c r="D469" s="93"/>
      <x:c r="E469" s="93"/>
      <x:c r="F469" s="93"/>
      <x:c r="G469" s="93"/>
      <x:c r="H469" s="93"/>
      <x:c r="I469" s="93"/>
      <x:c r="J469" s="93"/>
      <x:c r="K469" s="93"/>
    </x:row>
    <x:row r="470" s="92" customFormat="1" ht="7.900000095367432" customHeight="1">
      <x:c r="B470" s="93"/>
      <x:c r="C470" s="93"/>
      <x:c r="D470" s="93"/>
      <x:c r="E470" s="93"/>
      <x:c r="F470" s="93"/>
      <x:c r="G470" s="93"/>
      <x:c r="H470" s="93"/>
      <x:c r="I470" s="93"/>
      <x:c r="J470" s="93"/>
      <x:c r="K470" s="93"/>
    </x:row>
    <x:row r="471" s="92" customFormat="1" ht="7.900000095367432" customHeight="1">
      <x:c r="B471" s="93"/>
      <x:c r="C471" s="93"/>
      <x:c r="D471" s="93"/>
      <x:c r="E471" s="93"/>
      <x:c r="F471" s="93"/>
      <x:c r="G471" s="93"/>
      <x:c r="H471" s="93"/>
      <x:c r="I471" s="93"/>
      <x:c r="J471" s="93"/>
      <x:c r="K471" s="93"/>
    </x:row>
    <x:row r="472" s="92" customFormat="1" ht="7.900000095367432" customHeight="1">
      <x:c r="B472" s="93"/>
      <x:c r="C472" s="93"/>
      <x:c r="D472" s="93"/>
      <x:c r="E472" s="93"/>
      <x:c r="F472" s="93"/>
      <x:c r="G472" s="93"/>
      <x:c r="H472" s="93"/>
      <x:c r="I472" s="93"/>
      <x:c r="J472" s="93"/>
      <x:c r="K472" s="93"/>
    </x:row>
    <x:row r="473" s="92" customFormat="1" ht="7.900000095367432" customHeight="1">
      <x:c r="B473" s="93"/>
      <x:c r="C473" s="93"/>
      <x:c r="D473" s="93"/>
      <x:c r="E473" s="93"/>
      <x:c r="F473" s="93"/>
      <x:c r="G473" s="93"/>
      <x:c r="H473" s="93"/>
      <x:c r="I473" s="93"/>
      <x:c r="J473" s="93"/>
      <x:c r="K473" s="93"/>
    </x:row>
    <x:row r="474" s="92" customFormat="1" ht="7.900000095367432" customHeight="1">
      <x:c r="B474" s="93"/>
      <x:c r="C474" s="93"/>
      <x:c r="D474" s="93"/>
      <x:c r="E474" s="93"/>
      <x:c r="F474" s="93"/>
      <x:c r="G474" s="93"/>
      <x:c r="H474" s="93"/>
      <x:c r="I474" s="93"/>
      <x:c r="J474" s="93"/>
      <x:c r="K474" s="93"/>
    </x:row>
    <x:row r="475" s="92" customFormat="1" ht="7.900000095367432" customHeight="1">
      <x:c r="B475" s="93"/>
      <x:c r="C475" s="93"/>
      <x:c r="D475" s="93"/>
      <x:c r="E475" s="93"/>
      <x:c r="F475" s="93"/>
      <x:c r="G475" s="93"/>
      <x:c r="H475" s="93"/>
      <x:c r="I475" s="93"/>
      <x:c r="J475" s="93"/>
      <x:c r="K475" s="93"/>
    </x:row>
    <x:row r="476" s="92" customFormat="1" ht="7.900000095367432" customHeight="1">
      <x:c r="B476" s="93"/>
      <x:c r="C476" s="93"/>
      <x:c r="D476" s="93"/>
      <x:c r="E476" s="93"/>
      <x:c r="F476" s="93"/>
      <x:c r="G476" s="93"/>
      <x:c r="H476" s="93"/>
      <x:c r="I476" s="93"/>
      <x:c r="J476" s="93"/>
      <x:c r="K476" s="93"/>
    </x:row>
    <x:row r="477" s="92" customFormat="1" ht="7.900000095367432" customHeight="1">
      <x:c r="B477" s="93"/>
      <x:c r="C477" s="93"/>
      <x:c r="D477" s="93"/>
      <x:c r="E477" s="93"/>
      <x:c r="F477" s="93"/>
      <x:c r="G477" s="93"/>
      <x:c r="H477" s="93"/>
      <x:c r="I477" s="93"/>
      <x:c r="J477" s="93"/>
      <x:c r="K477" s="93"/>
    </x:row>
    <x:row r="478" s="92" customFormat="1" ht="7.900000095367432" customHeight="1">
      <x:c r="B478" s="93"/>
      <x:c r="C478" s="93"/>
      <x:c r="D478" s="93"/>
      <x:c r="E478" s="93"/>
      <x:c r="F478" s="93"/>
      <x:c r="G478" s="93"/>
      <x:c r="H478" s="93"/>
      <x:c r="I478" s="93"/>
      <x:c r="J478" s="93"/>
      <x:c r="K478" s="93"/>
    </x:row>
    <x:row r="479" s="92" customFormat="1" ht="7.900000095367432" customHeight="1">
      <x:c r="B479" s="93"/>
      <x:c r="C479" s="93"/>
      <x:c r="D479" s="93"/>
      <x:c r="E479" s="93"/>
      <x:c r="F479" s="93"/>
      <x:c r="G479" s="93"/>
      <x:c r="H479" s="93"/>
      <x:c r="I479" s="93"/>
      <x:c r="J479" s="93"/>
      <x:c r="K479" s="93"/>
    </x:row>
    <x:row r="480" s="92" customFormat="1" ht="7.900000095367432" customHeight="1">
      <x:c r="B480" s="93"/>
      <x:c r="C480" s="93"/>
      <x:c r="D480" s="93"/>
      <x:c r="E480" s="93"/>
      <x:c r="F480" s="93"/>
      <x:c r="G480" s="93"/>
      <x:c r="H480" s="93"/>
      <x:c r="I480" s="93"/>
      <x:c r="J480" s="93"/>
      <x:c r="K480" s="93"/>
    </x:row>
    <x:row r="481" s="92" customFormat="1" ht="7.900000095367432" customHeight="1">
      <x:c r="B481" s="93"/>
      <x:c r="C481" s="93"/>
      <x:c r="D481" s="93"/>
      <x:c r="E481" s="93"/>
      <x:c r="F481" s="93"/>
      <x:c r="G481" s="93"/>
      <x:c r="H481" s="93"/>
      <x:c r="I481" s="93"/>
      <x:c r="J481" s="93"/>
      <x:c r="K481" s="93"/>
    </x:row>
    <x:row r="482" s="92" customFormat="1" ht="7.900000095367432" customHeight="1">
      <x:c r="B482" s="93"/>
      <x:c r="C482" s="93"/>
      <x:c r="D482" s="93"/>
      <x:c r="E482" s="93"/>
      <x:c r="F482" s="93"/>
      <x:c r="G482" s="93"/>
      <x:c r="H482" s="93"/>
      <x:c r="I482" s="93"/>
      <x:c r="J482" s="93"/>
      <x:c r="K482" s="93"/>
    </x:row>
    <x:row r="483" s="92" customFormat="1" ht="7.900000095367432" customHeight="1">
      <x:c r="B483" s="93"/>
      <x:c r="C483" s="93"/>
      <x:c r="D483" s="93"/>
      <x:c r="E483" s="93"/>
      <x:c r="F483" s="93"/>
      <x:c r="G483" s="93"/>
      <x:c r="H483" s="93"/>
      <x:c r="I483" s="93"/>
      <x:c r="J483" s="93"/>
      <x:c r="K483" s="93"/>
    </x:row>
    <x:row r="484" s="92" customFormat="1" ht="7.900000095367432" customHeight="1">
      <x:c r="B484" s="93"/>
      <x:c r="C484" s="93"/>
      <x:c r="D484" s="93"/>
      <x:c r="E484" s="93"/>
      <x:c r="F484" s="93"/>
      <x:c r="G484" s="93"/>
      <x:c r="H484" s="93"/>
      <x:c r="I484" s="93"/>
      <x:c r="J484" s="93"/>
      <x:c r="K484" s="93"/>
    </x:row>
    <x:row r="485" s="92" customFormat="1" ht="7.900000095367432" customHeight="1">
      <x:c r="B485" s="93"/>
      <x:c r="C485" s="93"/>
      <x:c r="D485" s="93"/>
      <x:c r="E485" s="93"/>
      <x:c r="F485" s="93"/>
      <x:c r="G485" s="93"/>
      <x:c r="H485" s="93"/>
      <x:c r="I485" s="93"/>
      <x:c r="J485" s="93"/>
      <x:c r="K485" s="93"/>
    </x:row>
    <x:row r="486" s="92" customFormat="1" ht="7.900000095367432" customHeight="1">
      <x:c r="B486" s="93"/>
      <x:c r="C486" s="93"/>
      <x:c r="D486" s="93"/>
      <x:c r="E486" s="93"/>
      <x:c r="F486" s="93"/>
      <x:c r="G486" s="93"/>
      <x:c r="H486" s="93"/>
      <x:c r="I486" s="93"/>
      <x:c r="J486" s="93"/>
      <x:c r="K486" s="93"/>
    </x:row>
    <x:row r="487" s="92" customFormat="1" ht="7.900000095367432" customHeight="1">
      <x:c r="B487" s="93"/>
      <x:c r="C487" s="93"/>
      <x:c r="D487" s="93"/>
      <x:c r="E487" s="93"/>
      <x:c r="F487" s="93"/>
      <x:c r="G487" s="93"/>
      <x:c r="H487" s="93"/>
      <x:c r="I487" s="93"/>
      <x:c r="J487" s="93"/>
      <x:c r="K487" s="93"/>
    </x:row>
    <x:row r="488" s="92" customFormat="1" ht="7.900000095367432" customHeight="1">
      <x:c r="B488" s="93"/>
      <x:c r="C488" s="93"/>
      <x:c r="D488" s="93"/>
      <x:c r="E488" s="93"/>
      <x:c r="F488" s="93"/>
      <x:c r="G488" s="93"/>
      <x:c r="H488" s="93"/>
      <x:c r="I488" s="93"/>
      <x:c r="J488" s="93"/>
      <x:c r="K488" s="93"/>
    </x:row>
    <x:row r="489" s="92" customFormat="1" ht="7.900000095367432" customHeight="1">
      <x:c r="B489" s="93"/>
      <x:c r="C489" s="93"/>
      <x:c r="D489" s="93"/>
      <x:c r="E489" s="93"/>
      <x:c r="F489" s="93"/>
      <x:c r="G489" s="93"/>
      <x:c r="H489" s="93"/>
      <x:c r="I489" s="93"/>
      <x:c r="J489" s="93"/>
      <x:c r="K489" s="93"/>
    </x:row>
    <x:row r="490" s="92" customFormat="1" ht="7.900000095367432" customHeight="1">
      <x:c r="B490" s="93"/>
      <x:c r="C490" s="93"/>
      <x:c r="D490" s="93"/>
      <x:c r="E490" s="93"/>
      <x:c r="F490" s="93"/>
      <x:c r="G490" s="93"/>
      <x:c r="H490" s="93"/>
      <x:c r="I490" s="93"/>
      <x:c r="J490" s="93"/>
      <x:c r="K490" s="93"/>
    </x:row>
    <x:row r="491" s="92" customFormat="1" ht="7.900000095367432" customHeight="1">
      <x:c r="B491" s="93"/>
      <x:c r="C491" s="93"/>
      <x:c r="D491" s="93"/>
      <x:c r="E491" s="93"/>
      <x:c r="F491" s="93"/>
      <x:c r="G491" s="93"/>
      <x:c r="H491" s="93"/>
      <x:c r="I491" s="93"/>
      <x:c r="J491" s="93"/>
      <x:c r="K491" s="93"/>
    </x:row>
    <x:row r="492" s="92" customFormat="1" ht="7.900000095367432" customHeight="1">
      <x:c r="B492" s="93"/>
      <x:c r="C492" s="93"/>
      <x:c r="D492" s="93"/>
      <x:c r="E492" s="93"/>
      <x:c r="F492" s="93"/>
      <x:c r="G492" s="93"/>
      <x:c r="H492" s="93"/>
      <x:c r="I492" s="93"/>
      <x:c r="J492" s="93"/>
      <x:c r="K492" s="93"/>
    </x:row>
    <x:row r="493" s="92" customFormat="1" ht="7.900000095367432" customHeight="1">
      <x:c r="B493" s="93"/>
      <x:c r="C493" s="93"/>
      <x:c r="D493" s="93"/>
      <x:c r="E493" s="93"/>
      <x:c r="F493" s="93"/>
      <x:c r="G493" s="93"/>
      <x:c r="H493" s="93"/>
      <x:c r="I493" s="93"/>
      <x:c r="J493" s="93"/>
      <x:c r="K493" s="93"/>
    </x:row>
    <x:row r="494" s="92" customFormat="1" ht="7.900000095367432" customHeight="1">
      <x:c r="B494" s="93"/>
      <x:c r="C494" s="93"/>
      <x:c r="D494" s="93"/>
      <x:c r="E494" s="93"/>
      <x:c r="F494" s="93"/>
      <x:c r="G494" s="93"/>
      <x:c r="H494" s="93"/>
      <x:c r="I494" s="93"/>
      <x:c r="J494" s="93"/>
      <x:c r="K494" s="93"/>
    </x:row>
    <x:row r="495" s="92" customFormat="1" ht="7.900000095367432" customHeight="1">
      <x:c r="B495" s="93"/>
      <x:c r="C495" s="93"/>
      <x:c r="D495" s="93"/>
      <x:c r="E495" s="93"/>
      <x:c r="F495" s="93"/>
      <x:c r="G495" s="93"/>
      <x:c r="H495" s="93"/>
      <x:c r="I495" s="93"/>
      <x:c r="J495" s="93"/>
      <x:c r="K495" s="93"/>
    </x:row>
    <x:row r="496" s="92" customFormat="1" ht="7.900000095367432" customHeight="1">
      <x:c r="B496" s="93"/>
      <x:c r="C496" s="93"/>
      <x:c r="D496" s="93"/>
      <x:c r="E496" s="93"/>
      <x:c r="F496" s="93"/>
      <x:c r="G496" s="93"/>
      <x:c r="H496" s="93"/>
      <x:c r="I496" s="93"/>
      <x:c r="J496" s="93"/>
      <x:c r="K496" s="93"/>
    </x:row>
    <x:row r="497" s="92" customFormat="1" ht="7.900000095367432" customHeight="1">
      <x:c r="B497" s="93"/>
      <x:c r="C497" s="93"/>
      <x:c r="D497" s="93"/>
      <x:c r="E497" s="93"/>
      <x:c r="F497" s="93"/>
      <x:c r="G497" s="93"/>
      <x:c r="H497" s="93"/>
      <x:c r="I497" s="93"/>
      <x:c r="J497" s="93"/>
      <x:c r="K497" s="93"/>
    </x:row>
    <x:row r="498" s="92" customFormat="1" ht="7.900000095367432" customHeight="1">
      <x:c r="B498" s="93"/>
      <x:c r="C498" s="93"/>
      <x:c r="D498" s="93"/>
      <x:c r="E498" s="93"/>
      <x:c r="F498" s="93"/>
      <x:c r="G498" s="93"/>
      <x:c r="H498" s="93"/>
      <x:c r="I498" s="93"/>
      <x:c r="J498" s="93"/>
      <x:c r="K498" s="93"/>
    </x:row>
    <x:row r="499" s="92" customFormat="1" ht="7.900000095367432" customHeight="1">
      <x:c r="B499" s="93"/>
      <x:c r="C499" s="93"/>
      <x:c r="D499" s="93"/>
      <x:c r="E499" s="93"/>
      <x:c r="F499" s="93"/>
      <x:c r="G499" s="93"/>
      <x:c r="H499" s="93"/>
      <x:c r="I499" s="93"/>
      <x:c r="J499" s="93"/>
      <x:c r="K499" s="93"/>
    </x:row>
    <x:row r="500" s="92" customFormat="1" ht="7.900000095367432" customHeight="1">
      <x:c r="B500" s="93"/>
      <x:c r="C500" s="93"/>
      <x:c r="D500" s="93"/>
      <x:c r="E500" s="93"/>
      <x:c r="F500" s="93"/>
      <x:c r="G500" s="93"/>
      <x:c r="H500" s="93"/>
      <x:c r="I500" s="93"/>
      <x:c r="J500" s="93"/>
      <x:c r="K500" s="93"/>
    </x:row>
    <x:row r="501" s="92" customFormat="1" ht="7.900000095367432" customHeight="1">
      <x:c r="B501" s="93"/>
      <x:c r="C501" s="93"/>
      <x:c r="D501" s="93"/>
      <x:c r="E501" s="93"/>
      <x:c r="F501" s="93"/>
      <x:c r="G501" s="93"/>
      <x:c r="H501" s="93"/>
      <x:c r="I501" s="93"/>
      <x:c r="J501" s="93"/>
      <x:c r="K501" s="93"/>
    </x:row>
    <x:row r="502" s="92" customFormat="1" ht="7.900000095367432" customHeight="1">
      <x:c r="B502" s="93"/>
      <x:c r="C502" s="93"/>
      <x:c r="D502" s="93"/>
      <x:c r="E502" s="93"/>
      <x:c r="F502" s="93"/>
      <x:c r="G502" s="93"/>
      <x:c r="H502" s="93"/>
      <x:c r="I502" s="93"/>
      <x:c r="J502" s="93"/>
      <x:c r="K502" s="93"/>
    </x:row>
    <x:row r="503" s="92" customFormat="1" ht="7.900000095367432" customHeight="1">
      <x:c r="B503" s="93"/>
      <x:c r="C503" s="93"/>
      <x:c r="D503" s="93"/>
      <x:c r="E503" s="93"/>
      <x:c r="F503" s="93"/>
      <x:c r="G503" s="93"/>
      <x:c r="H503" s="93"/>
      <x:c r="I503" s="93"/>
      <x:c r="J503" s="93"/>
      <x:c r="K503" s="93"/>
    </x:row>
    <x:row r="504" s="92" customFormat="1" ht="7.900000095367432" customHeight="1">
      <x:c r="B504" s="93"/>
      <x:c r="C504" s="93"/>
      <x:c r="D504" s="93"/>
      <x:c r="E504" s="93"/>
      <x:c r="F504" s="93"/>
      <x:c r="G504" s="93"/>
      <x:c r="H504" s="93"/>
      <x:c r="I504" s="93"/>
      <x:c r="J504" s="93"/>
      <x:c r="K504" s="93"/>
    </x:row>
    <x:row r="505" s="92" customFormat="1" ht="7.900000095367432" customHeight="1">
      <x:c r="B505" s="93"/>
      <x:c r="C505" s="93"/>
      <x:c r="D505" s="93"/>
      <x:c r="E505" s="93"/>
      <x:c r="F505" s="93"/>
      <x:c r="G505" s="93"/>
      <x:c r="H505" s="93"/>
      <x:c r="I505" s="93"/>
      <x:c r="J505" s="93"/>
      <x:c r="K505" s="93"/>
    </x:row>
    <x:row r="506" s="92" customFormat="1" ht="7.900000095367432" customHeight="1">
      <x:c r="B506" s="93"/>
      <x:c r="C506" s="93"/>
      <x:c r="D506" s="93"/>
      <x:c r="E506" s="93"/>
      <x:c r="F506" s="93"/>
      <x:c r="G506" s="93"/>
      <x:c r="H506" s="93"/>
      <x:c r="I506" s="93"/>
      <x:c r="J506" s="93"/>
      <x:c r="K506" s="93"/>
    </x:row>
    <x:row r="507" s="92" customFormat="1" ht="7.900000095367432" customHeight="1">
      <x:c r="B507" s="93"/>
      <x:c r="C507" s="93"/>
      <x:c r="D507" s="93"/>
      <x:c r="E507" s="93"/>
      <x:c r="F507" s="93"/>
      <x:c r="G507" s="93"/>
      <x:c r="H507" s="93"/>
      <x:c r="I507" s="93"/>
      <x:c r="J507" s="93"/>
      <x:c r="K507" s="93"/>
    </x:row>
    <x:row r="508" s="92" customFormat="1" ht="7.900000095367432" customHeight="1">
      <x:c r="B508" s="93"/>
      <x:c r="C508" s="93"/>
      <x:c r="D508" s="93"/>
      <x:c r="E508" s="93"/>
      <x:c r="F508" s="93"/>
      <x:c r="G508" s="93"/>
      <x:c r="H508" s="93"/>
      <x:c r="I508" s="93"/>
      <x:c r="J508" s="93"/>
      <x:c r="K508" s="93"/>
    </x:row>
    <x:row r="509" s="92" customFormat="1" ht="7.900000095367432" customHeight="1">
      <x:c r="B509" s="93"/>
      <x:c r="C509" s="93"/>
      <x:c r="D509" s="93"/>
      <x:c r="E509" s="93"/>
      <x:c r="F509" s="93"/>
      <x:c r="G509" s="93"/>
      <x:c r="H509" s="93"/>
      <x:c r="I509" s="93"/>
      <x:c r="J509" s="93"/>
      <x:c r="K509" s="93"/>
    </x:row>
    <x:row r="510" s="92" customFormat="1" ht="7.900000095367432" customHeight="1">
      <x:c r="B510" s="93"/>
      <x:c r="C510" s="93"/>
      <x:c r="D510" s="93"/>
      <x:c r="E510" s="93"/>
      <x:c r="F510" s="93"/>
      <x:c r="G510" s="93"/>
      <x:c r="H510" s="93"/>
      <x:c r="I510" s="93"/>
      <x:c r="J510" s="93"/>
      <x:c r="K510" s="93"/>
    </x:row>
    <x:row r="511" s="92" customFormat="1" ht="7.900000095367432" customHeight="1">
      <x:c r="B511" s="93"/>
      <x:c r="C511" s="93"/>
      <x:c r="D511" s="93"/>
      <x:c r="E511" s="93"/>
      <x:c r="F511" s="93"/>
      <x:c r="G511" s="93"/>
      <x:c r="H511" s="93"/>
      <x:c r="I511" s="93"/>
      <x:c r="J511" s="93"/>
      <x:c r="K511" s="93"/>
    </x:row>
    <x:row r="512" s="92" customFormat="1" ht="7.900000095367432" customHeight="1">
      <x:c r="B512" s="93"/>
      <x:c r="C512" s="93"/>
      <x:c r="D512" s="93"/>
      <x:c r="E512" s="93"/>
      <x:c r="F512" s="93"/>
      <x:c r="G512" s="93"/>
      <x:c r="H512" s="93"/>
      <x:c r="I512" s="93"/>
      <x:c r="J512" s="93"/>
      <x:c r="K512" s="93"/>
    </x:row>
    <x:row r="513" s="92" customFormat="1" ht="7.900000095367432" customHeight="1">
      <x:c r="B513" s="93"/>
      <x:c r="C513" s="93"/>
      <x:c r="D513" s="93"/>
      <x:c r="E513" s="93"/>
      <x:c r="F513" s="93"/>
      <x:c r="G513" s="93"/>
      <x:c r="H513" s="93"/>
      <x:c r="I513" s="93"/>
      <x:c r="J513" s="93"/>
      <x:c r="K513" s="93"/>
    </x:row>
    <x:row r="514" s="92" customFormat="1" ht="7.900000095367432" customHeight="1">
      <x:c r="B514" s="93"/>
      <x:c r="C514" s="93"/>
      <x:c r="D514" s="93"/>
      <x:c r="E514" s="93"/>
      <x:c r="F514" s="93"/>
      <x:c r="G514" s="93"/>
      <x:c r="H514" s="93"/>
      <x:c r="I514" s="93"/>
      <x:c r="J514" s="93"/>
      <x:c r="K514" s="93"/>
    </x:row>
    <x:row r="515" s="92" customFormat="1" ht="7.900000095367432" customHeight="1">
      <x:c r="B515" s="93"/>
      <x:c r="C515" s="93"/>
      <x:c r="D515" s="93"/>
      <x:c r="E515" s="93"/>
      <x:c r="F515" s="93"/>
      <x:c r="G515" s="93"/>
      <x:c r="H515" s="93"/>
      <x:c r="I515" s="93"/>
      <x:c r="J515" s="93"/>
      <x:c r="K515" s="93"/>
    </x:row>
    <x:row r="516" s="92" customFormat="1" ht="7.900000095367432" customHeight="1">
      <x:c r="B516" s="93"/>
      <x:c r="C516" s="93"/>
      <x:c r="D516" s="93"/>
      <x:c r="E516" s="93"/>
      <x:c r="F516" s="93"/>
      <x:c r="G516" s="93"/>
      <x:c r="H516" s="93"/>
      <x:c r="I516" s="93"/>
      <x:c r="J516" s="93"/>
      <x:c r="K516" s="93"/>
    </x:row>
    <x:row r="517" s="92" customFormat="1" ht="7.900000095367432" customHeight="1">
      <x:c r="B517" s="93"/>
      <x:c r="C517" s="93"/>
      <x:c r="D517" s="93"/>
      <x:c r="E517" s="93"/>
      <x:c r="F517" s="93"/>
      <x:c r="G517" s="93"/>
      <x:c r="H517" s="93"/>
      <x:c r="I517" s="93"/>
      <x:c r="J517" s="93"/>
      <x:c r="K517" s="93"/>
    </x:row>
    <x:row r="518" s="92" customFormat="1" ht="7.900000095367432" customHeight="1">
      <x:c r="B518" s="93"/>
      <x:c r="C518" s="93"/>
      <x:c r="D518" s="93"/>
      <x:c r="E518" s="93"/>
      <x:c r="F518" s="93"/>
      <x:c r="G518" s="93"/>
      <x:c r="H518" s="93"/>
      <x:c r="I518" s="93"/>
      <x:c r="J518" s="93"/>
      <x:c r="K518" s="93"/>
    </x:row>
    <x:row r="519" s="92" customFormat="1" ht="7.900000095367432" customHeight="1">
      <x:c r="B519" s="93"/>
      <x:c r="C519" s="93"/>
      <x:c r="D519" s="93"/>
      <x:c r="E519" s="93"/>
      <x:c r="F519" s="93"/>
      <x:c r="G519" s="93"/>
      <x:c r="H519" s="93"/>
      <x:c r="I519" s="93"/>
      <x:c r="J519" s="93"/>
      <x:c r="K519" s="93"/>
    </x:row>
    <x:row r="520" s="92" customFormat="1" ht="7.900000095367432" customHeight="1">
      <x:c r="B520" s="93"/>
      <x:c r="C520" s="93"/>
      <x:c r="D520" s="93"/>
      <x:c r="E520" s="93"/>
      <x:c r="F520" s="93"/>
      <x:c r="G520" s="93"/>
      <x:c r="H520" s="93"/>
      <x:c r="I520" s="93"/>
      <x:c r="J520" s="93"/>
      <x:c r="K520" s="93"/>
    </x:row>
    <x:row r="521" s="92" customFormat="1" ht="7.900000095367432" customHeight="1">
      <x:c r="B521" s="93"/>
      <x:c r="C521" s="93"/>
      <x:c r="D521" s="93"/>
      <x:c r="E521" s="93"/>
      <x:c r="F521" s="93"/>
      <x:c r="G521" s="93"/>
      <x:c r="H521" s="93"/>
      <x:c r="I521" s="93"/>
      <x:c r="J521" s="93"/>
      <x:c r="K521" s="93"/>
    </x:row>
    <x:row r="522" s="92" customFormat="1" ht="7.900000095367432" customHeight="1">
      <x:c r="B522" s="93"/>
      <x:c r="C522" s="93"/>
      <x:c r="D522" s="93"/>
      <x:c r="E522" s="93"/>
      <x:c r="F522" s="93"/>
      <x:c r="G522" s="93"/>
      <x:c r="H522" s="93"/>
      <x:c r="I522" s="93"/>
      <x:c r="J522" s="93"/>
      <x:c r="K522" s="93"/>
    </x:row>
    <x:row r="523" s="92" customFormat="1" ht="7.900000095367432" customHeight="1">
      <x:c r="B523" s="93"/>
      <x:c r="C523" s="93"/>
      <x:c r="D523" s="93"/>
      <x:c r="E523" s="93"/>
      <x:c r="F523" s="93"/>
      <x:c r="G523" s="93"/>
      <x:c r="H523" s="93"/>
      <x:c r="I523" s="93"/>
      <x:c r="J523" s="93"/>
      <x:c r="K523" s="93"/>
    </x:row>
    <x:row r="524" s="92" customFormat="1" ht="7.900000095367432" customHeight="1">
      <x:c r="B524" s="93"/>
      <x:c r="C524" s="93"/>
      <x:c r="D524" s="93"/>
      <x:c r="E524" s="93"/>
      <x:c r="F524" s="93"/>
      <x:c r="G524" s="93"/>
      <x:c r="H524" s="93"/>
      <x:c r="I524" s="93"/>
      <x:c r="J524" s="93"/>
      <x:c r="K524" s="93"/>
    </x:row>
    <x:row r="525" s="92" customFormat="1" ht="7.900000095367432" customHeight="1">
      <x:c r="B525" s="93"/>
      <x:c r="C525" s="93"/>
      <x:c r="D525" s="93"/>
      <x:c r="E525" s="93"/>
      <x:c r="F525" s="93"/>
      <x:c r="G525" s="93"/>
      <x:c r="H525" s="93"/>
      <x:c r="I525" s="93"/>
      <x:c r="J525" s="93"/>
      <x:c r="K525" s="93"/>
    </x:row>
    <x:row r="526" s="92" customFormat="1" ht="7.900000095367432" customHeight="1">
      <x:c r="B526" s="93"/>
      <x:c r="C526" s="93"/>
      <x:c r="D526" s="93"/>
      <x:c r="E526" s="93"/>
      <x:c r="F526" s="93"/>
      <x:c r="G526" s="93"/>
      <x:c r="H526" s="93"/>
      <x:c r="I526" s="93"/>
      <x:c r="J526" s="93"/>
      <x:c r="K526" s="93"/>
    </x:row>
    <x:row r="527" s="92" customFormat="1" ht="7.900000095367432" customHeight="1">
      <x:c r="B527" s="93"/>
      <x:c r="C527" s="93"/>
      <x:c r="D527" s="93"/>
      <x:c r="E527" s="93"/>
      <x:c r="F527" s="93"/>
      <x:c r="G527" s="93"/>
      <x:c r="H527" s="93"/>
      <x:c r="I527" s="93"/>
      <x:c r="J527" s="93"/>
      <x:c r="K527" s="93"/>
    </x:row>
    <x:row r="528" s="92" customFormat="1" ht="7.900000095367432" customHeight="1">
      <x:c r="B528" s="93"/>
      <x:c r="C528" s="93"/>
      <x:c r="D528" s="93"/>
      <x:c r="E528" s="93"/>
      <x:c r="F528" s="93"/>
      <x:c r="G528" s="93"/>
      <x:c r="H528" s="93"/>
      <x:c r="I528" s="93"/>
      <x:c r="J528" s="93"/>
      <x:c r="K528" s="93"/>
    </x:row>
    <x:row r="529" s="92" customFormat="1" ht="7.900000095367432" customHeight="1">
      <x:c r="B529" s="93"/>
      <x:c r="C529" s="93"/>
      <x:c r="D529" s="93"/>
      <x:c r="E529" s="93"/>
      <x:c r="F529" s="93"/>
      <x:c r="G529" s="93"/>
      <x:c r="H529" s="93"/>
      <x:c r="I529" s="93"/>
      <x:c r="J529" s="93"/>
      <x:c r="K529" s="93"/>
    </x:row>
    <x:row r="530" s="92" customFormat="1" ht="7.900000095367432" customHeight="1">
      <x:c r="B530" s="93"/>
      <x:c r="C530" s="93"/>
      <x:c r="D530" s="93"/>
      <x:c r="E530" s="93"/>
      <x:c r="F530" s="93"/>
      <x:c r="G530" s="93"/>
      <x:c r="H530" s="93"/>
      <x:c r="I530" s="93"/>
      <x:c r="J530" s="93"/>
      <x:c r="K530" s="93"/>
    </x:row>
    <x:row r="531" s="92" customFormat="1" ht="7.900000095367432" customHeight="1">
      <x:c r="B531" s="93"/>
      <x:c r="C531" s="93"/>
      <x:c r="D531" s="93"/>
      <x:c r="E531" s="93"/>
      <x:c r="F531" s="93"/>
      <x:c r="G531" s="93"/>
      <x:c r="H531" s="93"/>
      <x:c r="I531" s="93"/>
      <x:c r="J531" s="93"/>
      <x:c r="K531" s="93"/>
    </x:row>
    <x:row r="532" s="92" customFormat="1" ht="7.900000095367432" customHeight="1">
      <x:c r="B532" s="93"/>
      <x:c r="C532" s="93"/>
      <x:c r="D532" s="93"/>
      <x:c r="E532" s="93"/>
      <x:c r="F532" s="93"/>
      <x:c r="G532" s="93"/>
      <x:c r="H532" s="93"/>
      <x:c r="I532" s="93"/>
      <x:c r="J532" s="93"/>
      <x:c r="K532" s="93"/>
    </x:row>
    <x:row r="533" s="92" customFormat="1" ht="7.900000095367432" customHeight="1">
      <x:c r="B533" s="93"/>
      <x:c r="C533" s="93"/>
      <x:c r="D533" s="93"/>
      <x:c r="E533" s="93"/>
      <x:c r="F533" s="93"/>
      <x:c r="G533" s="93"/>
      <x:c r="H533" s="93"/>
      <x:c r="I533" s="93"/>
      <x:c r="J533" s="93"/>
      <x:c r="K533" s="93"/>
    </x:row>
    <x:row r="534" s="92" customFormat="1" ht="7.900000095367432" customHeight="1">
      <x:c r="B534" s="93"/>
      <x:c r="C534" s="93"/>
      <x:c r="D534" s="93"/>
      <x:c r="E534" s="93"/>
      <x:c r="F534" s="93"/>
      <x:c r="G534" s="93"/>
      <x:c r="H534" s="93"/>
      <x:c r="I534" s="93"/>
      <x:c r="J534" s="93"/>
      <x:c r="K534" s="93"/>
    </x:row>
    <x:row r="535" s="92" customFormat="1" ht="7.900000095367432" customHeight="1">
      <x:c r="B535" s="93"/>
      <x:c r="C535" s="93"/>
      <x:c r="D535" s="93"/>
      <x:c r="E535" s="93"/>
      <x:c r="F535" s="93"/>
      <x:c r="G535" s="93"/>
      <x:c r="H535" s="93"/>
      <x:c r="I535" s="93"/>
      <x:c r="J535" s="93"/>
      <x:c r="K535" s="93"/>
    </x:row>
    <x:row r="536" s="92" customFormat="1" ht="7.900000095367432" customHeight="1">
      <x:c r="B536" s="93"/>
      <x:c r="C536" s="93"/>
      <x:c r="D536" s="93"/>
      <x:c r="E536" s="93"/>
      <x:c r="F536" s="93"/>
      <x:c r="G536" s="93"/>
      <x:c r="H536" s="93"/>
      <x:c r="I536" s="93"/>
      <x:c r="J536" s="93"/>
      <x:c r="K536" s="93"/>
    </x:row>
    <x:row r="537" s="92" customFormat="1" ht="7.900000095367432" customHeight="1">
      <x:c r="B537" s="93"/>
      <x:c r="C537" s="93"/>
      <x:c r="D537" s="93"/>
      <x:c r="E537" s="93"/>
      <x:c r="F537" s="93"/>
      <x:c r="G537" s="93"/>
      <x:c r="H537" s="93"/>
      <x:c r="I537" s="93"/>
      <x:c r="J537" s="93"/>
      <x:c r="K537" s="93"/>
    </x:row>
    <x:row r="538" s="92" customFormat="1" ht="7.900000095367432" customHeight="1">
      <x:c r="B538" s="93"/>
      <x:c r="C538" s="93"/>
      <x:c r="D538" s="93"/>
      <x:c r="E538" s="93"/>
      <x:c r="F538" s="93"/>
      <x:c r="G538" s="93"/>
      <x:c r="H538" s="93"/>
      <x:c r="I538" s="93"/>
      <x:c r="J538" s="93"/>
      <x:c r="K538" s="93"/>
    </x:row>
    <x:row r="539" s="92" customFormat="1" ht="7.900000095367432" customHeight="1">
      <x:c r="B539" s="93"/>
      <x:c r="C539" s="93"/>
      <x:c r="D539" s="93"/>
      <x:c r="E539" s="93"/>
      <x:c r="F539" s="93"/>
      <x:c r="G539" s="93"/>
      <x:c r="H539" s="93"/>
      <x:c r="I539" s="93"/>
      <x:c r="J539" s="93"/>
      <x:c r="K539" s="93"/>
    </x:row>
    <x:row r="540" s="92" customFormat="1" ht="7.900000095367432" customHeight="1">
      <x:c r="B540" s="93"/>
      <x:c r="C540" s="93"/>
      <x:c r="D540" s="93"/>
      <x:c r="E540" s="93"/>
      <x:c r="F540" s="93"/>
      <x:c r="G540" s="93"/>
      <x:c r="H540" s="93"/>
      <x:c r="I540" s="93"/>
      <x:c r="J540" s="93"/>
      <x:c r="K540" s="93"/>
    </x:row>
    <x:row r="541" s="92" customFormat="1" ht="7.900000095367432" customHeight="1">
      <x:c r="B541" s="93"/>
      <x:c r="C541" s="93"/>
      <x:c r="D541" s="93"/>
      <x:c r="E541" s="93"/>
      <x:c r="F541" s="93"/>
      <x:c r="G541" s="93"/>
      <x:c r="H541" s="93"/>
      <x:c r="I541" s="93"/>
      <x:c r="J541" s="93"/>
      <x:c r="K541" s="93"/>
    </x:row>
    <x:row r="542" s="92" customFormat="1" ht="7.900000095367432" customHeight="1">
      <x:c r="B542" s="93"/>
      <x:c r="C542" s="93"/>
      <x:c r="D542" s="93"/>
      <x:c r="E542" s="93"/>
      <x:c r="F542" s="93"/>
      <x:c r="G542" s="93"/>
      <x:c r="H542" s="93"/>
      <x:c r="I542" s="93"/>
      <x:c r="J542" s="93"/>
      <x:c r="K542" s="93"/>
    </x:row>
    <x:row r="543" s="92" customFormat="1" ht="7.900000095367432" customHeight="1">
      <x:c r="B543" s="93"/>
      <x:c r="C543" s="93"/>
      <x:c r="D543" s="93"/>
      <x:c r="E543" s="93"/>
      <x:c r="F543" s="93"/>
      <x:c r="G543" s="93"/>
      <x:c r="H543" s="93"/>
      <x:c r="I543" s="93"/>
      <x:c r="J543" s="93"/>
      <x:c r="K543" s="93"/>
    </x:row>
    <x:row r="544" s="92" customFormat="1" ht="7.900000095367432" customHeight="1">
      <x:c r="B544" s="93"/>
      <x:c r="C544" s="93"/>
      <x:c r="D544" s="93"/>
      <x:c r="E544" s="93"/>
      <x:c r="F544" s="93"/>
      <x:c r="G544" s="93"/>
      <x:c r="H544" s="93"/>
      <x:c r="I544" s="93"/>
      <x:c r="J544" s="93"/>
      <x:c r="K544" s="93"/>
    </x:row>
    <x:row r="545" s="92" customFormat="1" ht="7.900000095367432" customHeight="1">
      <x:c r="B545" s="93"/>
      <x:c r="C545" s="93"/>
      <x:c r="D545" s="93"/>
      <x:c r="E545" s="93"/>
      <x:c r="F545" s="93"/>
      <x:c r="G545" s="93"/>
      <x:c r="H545" s="93"/>
      <x:c r="I545" s="93"/>
      <x:c r="J545" s="93"/>
      <x:c r="K545" s="93"/>
    </x:row>
    <x:row r="546" s="92" customFormat="1" ht="7.900000095367432" customHeight="1">
      <x:c r="B546" s="93"/>
      <x:c r="C546" s="93"/>
      <x:c r="D546" s="93"/>
      <x:c r="E546" s="93"/>
      <x:c r="F546" s="93"/>
      <x:c r="G546" s="93"/>
      <x:c r="H546" s="93"/>
      <x:c r="I546" s="93"/>
      <x:c r="J546" s="93"/>
      <x:c r="K546" s="93"/>
    </x:row>
    <x:row r="547" s="92" customFormat="1" ht="7.900000095367432" customHeight="1">
      <x:c r="B547" s="93"/>
      <x:c r="C547" s="93"/>
      <x:c r="D547" s="93"/>
      <x:c r="E547" s="93"/>
      <x:c r="F547" s="93"/>
      <x:c r="G547" s="93"/>
      <x:c r="H547" s="93"/>
      <x:c r="I547" s="93"/>
      <x:c r="J547" s="93"/>
      <x:c r="K547" s="93"/>
    </x:row>
    <x:row r="548" s="92" customFormat="1" ht="7.900000095367432" customHeight="1">
      <x:c r="B548" s="93"/>
      <x:c r="C548" s="93"/>
      <x:c r="D548" s="93"/>
      <x:c r="E548" s="93"/>
      <x:c r="F548" s="93"/>
      <x:c r="G548" s="93"/>
      <x:c r="H548" s="93"/>
      <x:c r="I548" s="93"/>
      <x:c r="J548" s="93"/>
      <x:c r="K548" s="93"/>
    </x:row>
    <x:row r="549" s="92" customFormat="1" ht="7.900000095367432" customHeight="1">
      <x:c r="B549" s="93"/>
      <x:c r="C549" s="93"/>
      <x:c r="D549" s="93"/>
      <x:c r="E549" s="93"/>
      <x:c r="F549" s="93"/>
      <x:c r="G549" s="93"/>
      <x:c r="H549" s="93"/>
      <x:c r="I549" s="93"/>
      <x:c r="J549" s="93"/>
      <x:c r="K549" s="93"/>
    </x:row>
    <x:row r="550" s="92" customFormat="1" ht="7.900000095367432" customHeight="1">
      <x:c r="B550" s="93"/>
      <x:c r="C550" s="93"/>
      <x:c r="D550" s="93"/>
      <x:c r="E550" s="93"/>
      <x:c r="F550" s="93"/>
      <x:c r="G550" s="93"/>
      <x:c r="H550" s="93"/>
      <x:c r="I550" s="93"/>
      <x:c r="J550" s="93"/>
      <x:c r="K550" s="93"/>
    </x:row>
    <x:row r="551" s="92" customFormat="1" ht="7.900000095367432" customHeight="1">
      <x:c r="B551" s="93"/>
      <x:c r="C551" s="93"/>
      <x:c r="D551" s="93"/>
      <x:c r="E551" s="93"/>
      <x:c r="F551" s="93"/>
      <x:c r="G551" s="93"/>
      <x:c r="H551" s="93"/>
      <x:c r="I551" s="93"/>
      <x:c r="J551" s="93"/>
      <x:c r="K551" s="93"/>
    </x:row>
    <x:row r="552" s="92" customFormat="1" ht="7.900000095367432" customHeight="1">
      <x:c r="B552" s="93"/>
      <x:c r="C552" s="93"/>
      <x:c r="D552" s="93"/>
      <x:c r="E552" s="93"/>
      <x:c r="F552" s="93"/>
      <x:c r="G552" s="93"/>
      <x:c r="H552" s="93"/>
      <x:c r="I552" s="93"/>
      <x:c r="J552" s="93"/>
      <x:c r="K552" s="93"/>
    </x:row>
    <x:row r="553" s="92" customFormat="1" ht="7.900000095367432" customHeight="1">
      <x:c r="B553" s="93"/>
      <x:c r="C553" s="93"/>
      <x:c r="D553" s="93"/>
      <x:c r="E553" s="93"/>
      <x:c r="F553" s="93"/>
      <x:c r="G553" s="93"/>
      <x:c r="H553" s="93"/>
      <x:c r="I553" s="93"/>
      <x:c r="J553" s="93"/>
      <x:c r="K553" s="93"/>
    </x:row>
    <x:row r="554" s="92" customFormat="1" ht="7.900000095367432" customHeight="1">
      <x:c r="B554" s="93"/>
      <x:c r="C554" s="93"/>
      <x:c r="D554" s="93"/>
      <x:c r="E554" s="93"/>
      <x:c r="F554" s="93"/>
      <x:c r="G554" s="93"/>
      <x:c r="H554" s="93"/>
      <x:c r="I554" s="93"/>
      <x:c r="J554" s="93"/>
      <x:c r="K554" s="93"/>
    </x:row>
    <x:row r="555" s="92" customFormat="1" ht="7.900000095367432" customHeight="1">
      <x:c r="B555" s="93"/>
      <x:c r="C555" s="93"/>
      <x:c r="D555" s="93"/>
      <x:c r="E555" s="93"/>
      <x:c r="F555" s="93"/>
      <x:c r="G555" s="93"/>
      <x:c r="H555" s="93"/>
      <x:c r="I555" s="93"/>
      <x:c r="J555" s="93"/>
      <x:c r="K555" s="93"/>
    </x:row>
    <x:row r="556" s="92" customFormat="1" ht="7.900000095367432" customHeight="1">
      <x:c r="B556" s="93"/>
      <x:c r="C556" s="93"/>
      <x:c r="D556" s="93"/>
      <x:c r="E556" s="93"/>
      <x:c r="F556" s="93"/>
      <x:c r="G556" s="93"/>
      <x:c r="H556" s="93"/>
      <x:c r="I556" s="93"/>
      <x:c r="J556" s="93"/>
      <x:c r="K556" s="93"/>
    </x:row>
    <x:row r="557" s="92" customFormat="1" ht="7.900000095367432" customHeight="1">
      <x:c r="B557" s="93"/>
      <x:c r="C557" s="93"/>
      <x:c r="D557" s="93"/>
      <x:c r="E557" s="93"/>
      <x:c r="F557" s="93"/>
      <x:c r="G557" s="93"/>
      <x:c r="H557" s="93"/>
      <x:c r="I557" s="93"/>
      <x:c r="J557" s="93"/>
      <x:c r="K557" s="93"/>
    </x:row>
    <x:row r="558" s="92" customFormat="1" ht="7.900000095367432" customHeight="1">
      <x:c r="B558" s="93"/>
      <x:c r="C558" s="93"/>
      <x:c r="D558" s="93"/>
      <x:c r="E558" s="93"/>
      <x:c r="F558" s="93"/>
      <x:c r="G558" s="93"/>
      <x:c r="H558" s="93"/>
      <x:c r="I558" s="93"/>
      <x:c r="J558" s="93"/>
      <x:c r="K558" s="93"/>
    </x:row>
    <x:row r="559" s="92" customFormat="1" ht="7.900000095367432" customHeight="1">
      <x:c r="B559" s="93"/>
      <x:c r="C559" s="93"/>
      <x:c r="D559" s="93"/>
      <x:c r="E559" s="93"/>
      <x:c r="F559" s="93"/>
      <x:c r="G559" s="93"/>
      <x:c r="H559" s="93"/>
      <x:c r="I559" s="93"/>
      <x:c r="J559" s="93"/>
      <x:c r="K559" s="93"/>
    </x:row>
    <x:row r="560" s="92" customFormat="1" ht="7.900000095367432" customHeight="1">
      <x:c r="B560" s="93"/>
      <x:c r="C560" s="93"/>
      <x:c r="D560" s="93"/>
      <x:c r="E560" s="93"/>
      <x:c r="F560" s="93"/>
      <x:c r="G560" s="93"/>
      <x:c r="H560" s="93"/>
      <x:c r="I560" s="93"/>
      <x:c r="J560" s="93"/>
      <x:c r="K560" s="93"/>
    </x:row>
    <x:row r="561" s="92" customFormat="1" ht="7.900000095367432" customHeight="1">
      <x:c r="B561" s="93"/>
      <x:c r="C561" s="93"/>
      <x:c r="D561" s="93"/>
      <x:c r="E561" s="93"/>
      <x:c r="F561" s="93"/>
      <x:c r="G561" s="93"/>
      <x:c r="H561" s="93"/>
      <x:c r="I561" s="93"/>
      <x:c r="J561" s="93"/>
      <x:c r="K561" s="93"/>
    </x:row>
    <x:row r="562" s="92" customFormat="1" ht="7.900000095367432" customHeight="1">
      <x:c r="B562" s="93"/>
      <x:c r="C562" s="93"/>
      <x:c r="D562" s="93"/>
      <x:c r="E562" s="93"/>
      <x:c r="F562" s="93"/>
      <x:c r="G562" s="93"/>
      <x:c r="H562" s="93"/>
      <x:c r="I562" s="93"/>
      <x:c r="J562" s="93"/>
      <x:c r="K562" s="93"/>
    </x:row>
    <x:row r="563" s="92" customFormat="1" ht="7.900000095367432" customHeight="1">
      <x:c r="B563" s="93"/>
      <x:c r="C563" s="93"/>
      <x:c r="D563" s="93"/>
      <x:c r="E563" s="93"/>
      <x:c r="F563" s="93"/>
      <x:c r="G563" s="93"/>
      <x:c r="H563" s="93"/>
      <x:c r="I563" s="93"/>
      <x:c r="J563" s="93"/>
      <x:c r="K563" s="93"/>
    </x:row>
    <x:row r="564" s="92" customFormat="1" ht="7.900000095367432" customHeight="1">
      <x:c r="B564" s="93"/>
      <x:c r="C564" s="93"/>
      <x:c r="D564" s="93"/>
      <x:c r="E564" s="93"/>
      <x:c r="F564" s="93"/>
      <x:c r="G564" s="93"/>
      <x:c r="H564" s="93"/>
      <x:c r="I564" s="93"/>
      <x:c r="J564" s="93"/>
      <x:c r="K564" s="93"/>
    </x:row>
    <x:row r="565" s="92" customFormat="1" ht="7.900000095367432" customHeight="1">
      <x:c r="B565" s="93"/>
      <x:c r="C565" s="93"/>
      <x:c r="D565" s="93"/>
      <x:c r="E565" s="93"/>
      <x:c r="F565" s="93"/>
      <x:c r="G565" s="93"/>
      <x:c r="H565" s="93"/>
      <x:c r="I565" s="93"/>
      <x:c r="J565" s="93"/>
      <x:c r="K565" s="93"/>
    </x:row>
    <x:row r="566" s="92" customFormat="1" ht="7.900000095367432" customHeight="1">
      <x:c r="B566" s="93"/>
      <x:c r="C566" s="93"/>
      <x:c r="D566" s="93"/>
      <x:c r="E566" s="93"/>
      <x:c r="F566" s="93"/>
      <x:c r="G566" s="93"/>
      <x:c r="H566" s="93"/>
      <x:c r="I566" s="93"/>
      <x:c r="J566" s="93"/>
      <x:c r="K566" s="93"/>
    </x:row>
    <x:row r="567" s="92" customFormat="1" ht="7.900000095367432" customHeight="1">
      <x:c r="B567" s="93"/>
      <x:c r="C567" s="93"/>
      <x:c r="D567" s="93"/>
      <x:c r="E567" s="93"/>
      <x:c r="F567" s="93"/>
      <x:c r="G567" s="93"/>
      <x:c r="H567" s="93"/>
      <x:c r="I567" s="93"/>
      <x:c r="J567" s="93"/>
      <x:c r="K567" s="93"/>
    </x:row>
    <x:row r="568" s="92" customFormat="1" ht="7.900000095367432" customHeight="1">
      <x:c r="B568" s="93"/>
      <x:c r="C568" s="93"/>
      <x:c r="D568" s="93"/>
      <x:c r="E568" s="93"/>
      <x:c r="F568" s="93"/>
      <x:c r="G568" s="93"/>
      <x:c r="H568" s="93"/>
      <x:c r="I568" s="93"/>
      <x:c r="J568" s="93"/>
      <x:c r="K568" s="93"/>
    </x:row>
    <x:row r="569" s="92" customFormat="1" ht="7.900000095367432" customHeight="1">
      <x:c r="B569" s="93"/>
      <x:c r="C569" s="93"/>
      <x:c r="D569" s="93"/>
      <x:c r="E569" s="93"/>
      <x:c r="F569" s="93"/>
      <x:c r="G569" s="93"/>
      <x:c r="H569" s="93"/>
      <x:c r="I569" s="93"/>
      <x:c r="J569" s="93"/>
      <x:c r="K569" s="93"/>
    </x:row>
    <x:row r="570" s="92" customFormat="1" ht="7.900000095367432" customHeight="1">
      <x:c r="B570" s="93"/>
      <x:c r="C570" s="93"/>
      <x:c r="D570" s="93"/>
      <x:c r="E570" s="93"/>
      <x:c r="F570" s="93"/>
      <x:c r="G570" s="93"/>
      <x:c r="H570" s="93"/>
      <x:c r="I570" s="93"/>
      <x:c r="J570" s="93"/>
      <x:c r="K570" s="93"/>
    </x:row>
    <x:row r="571" s="92" customFormat="1" ht="7.900000095367432" customHeight="1">
      <x:c r="B571" s="93"/>
      <x:c r="C571" s="93"/>
      <x:c r="D571" s="93"/>
      <x:c r="E571" s="93"/>
      <x:c r="F571" s="93"/>
      <x:c r="G571" s="93"/>
      <x:c r="H571" s="93"/>
      <x:c r="I571" s="93"/>
      <x:c r="J571" s="93"/>
      <x:c r="K571" s="93"/>
    </x:row>
    <x:row r="572" s="92" customFormat="1" ht="7.900000095367432" customHeight="1">
      <x:c r="B572" s="93"/>
      <x:c r="C572" s="93"/>
      <x:c r="D572" s="93"/>
      <x:c r="E572" s="93"/>
      <x:c r="F572" s="93"/>
      <x:c r="G572" s="93"/>
      <x:c r="H572" s="93"/>
      <x:c r="I572" s="93"/>
      <x:c r="J572" s="93"/>
      <x:c r="K572" s="93"/>
    </x:row>
    <x:row r="573" s="92" customFormat="1" ht="7.900000095367432" customHeight="1">
      <x:c r="B573" s="93"/>
      <x:c r="C573" s="93"/>
      <x:c r="D573" s="93"/>
      <x:c r="E573" s="93"/>
      <x:c r="F573" s="93"/>
      <x:c r="G573" s="93"/>
      <x:c r="H573" s="93"/>
      <x:c r="I573" s="93"/>
      <x:c r="J573" s="93"/>
      <x:c r="K573" s="93"/>
    </x:row>
    <x:row r="574" s="92" customFormat="1" ht="7.900000095367432" customHeight="1">
      <x:c r="B574" s="93"/>
      <x:c r="C574" s="93"/>
      <x:c r="D574" s="93"/>
      <x:c r="E574" s="93"/>
      <x:c r="F574" s="93"/>
      <x:c r="G574" s="93"/>
      <x:c r="H574" s="93"/>
      <x:c r="I574" s="93"/>
      <x:c r="J574" s="93"/>
      <x:c r="K574" s="93"/>
    </x:row>
    <x:row r="575" s="92" customFormat="1" ht="7.900000095367432" customHeight="1">
      <x:c r="B575" s="93"/>
      <x:c r="C575" s="93"/>
      <x:c r="D575" s="93"/>
      <x:c r="E575" s="93"/>
      <x:c r="F575" s="93"/>
      <x:c r="G575" s="93"/>
      <x:c r="H575" s="93"/>
      <x:c r="I575" s="93"/>
      <x:c r="J575" s="93"/>
      <x:c r="K575" s="93"/>
    </x:row>
    <x:row r="576" s="92" customFormat="1" ht="7.900000095367432" customHeight="1">
      <x:c r="B576" s="93"/>
      <x:c r="C576" s="93"/>
      <x:c r="D576" s="93"/>
      <x:c r="E576" s="93"/>
      <x:c r="F576" s="93"/>
      <x:c r="G576" s="93"/>
      <x:c r="H576" s="93"/>
      <x:c r="I576" s="93"/>
      <x:c r="J576" s="93"/>
      <x:c r="K576" s="93"/>
    </x:row>
    <x:row r="577" s="92" customFormat="1" ht="7.900000095367432" customHeight="1">
      <x:c r="B577" s="93"/>
      <x:c r="C577" s="93"/>
      <x:c r="D577" s="93"/>
      <x:c r="E577" s="93"/>
      <x:c r="F577" s="93"/>
      <x:c r="G577" s="93"/>
      <x:c r="H577" s="93"/>
      <x:c r="I577" s="93"/>
      <x:c r="J577" s="93"/>
      <x:c r="K577" s="93"/>
    </x:row>
    <x:row r="578" s="92" customFormat="1" ht="7.900000095367432" customHeight="1">
      <x:c r="B578" s="93"/>
      <x:c r="C578" s="93"/>
      <x:c r="D578" s="93"/>
      <x:c r="E578" s="93"/>
      <x:c r="F578" s="93"/>
      <x:c r="G578" s="93"/>
      <x:c r="H578" s="93"/>
      <x:c r="I578" s="93"/>
      <x:c r="J578" s="93"/>
      <x:c r="K578" s="93"/>
    </x:row>
    <x:row r="579" s="92" customFormat="1" ht="7.900000095367432" customHeight="1">
      <x:c r="B579" s="93"/>
      <x:c r="C579" s="93"/>
      <x:c r="D579" s="93"/>
      <x:c r="E579" s="93"/>
      <x:c r="F579" s="93"/>
      <x:c r="G579" s="93"/>
      <x:c r="H579" s="93"/>
      <x:c r="I579" s="93"/>
      <x:c r="J579" s="93"/>
      <x:c r="K579" s="93"/>
    </x:row>
    <x:row r="580" s="92" customFormat="1" ht="7.900000095367432" customHeight="1">
      <x:c r="B580" s="93"/>
      <x:c r="C580" s="93"/>
      <x:c r="D580" s="93"/>
      <x:c r="E580" s="93"/>
      <x:c r="F580" s="93"/>
      <x:c r="G580" s="93"/>
      <x:c r="H580" s="93"/>
      <x:c r="I580" s="93"/>
      <x:c r="J580" s="93"/>
      <x:c r="K580" s="93"/>
    </x:row>
    <x:row r="581" s="92" customFormat="1" ht="7.900000095367432" customHeight="1">
      <x:c r="B581" s="93"/>
      <x:c r="C581" s="93"/>
      <x:c r="D581" s="93"/>
      <x:c r="E581" s="93"/>
      <x:c r="F581" s="93"/>
      <x:c r="G581" s="93"/>
      <x:c r="H581" s="93"/>
      <x:c r="I581" s="93"/>
      <x:c r="J581" s="93"/>
      <x:c r="K581" s="93"/>
    </x:row>
    <x:row r="582" s="92" customFormat="1" ht="7.900000095367432" customHeight="1">
      <x:c r="B582" s="93"/>
      <x:c r="C582" s="93"/>
      <x:c r="D582" s="93"/>
      <x:c r="E582" s="93"/>
      <x:c r="F582" s="93"/>
      <x:c r="G582" s="93"/>
      <x:c r="H582" s="93"/>
      <x:c r="I582" s="93"/>
      <x:c r="J582" s="93"/>
      <x:c r="K582" s="93"/>
    </x:row>
    <x:row r="583" s="92" customFormat="1" ht="7.900000095367432" customHeight="1">
      <x:c r="B583" s="93"/>
      <x:c r="C583" s="93"/>
      <x:c r="D583" s="93"/>
      <x:c r="E583" s="93"/>
      <x:c r="F583" s="93"/>
      <x:c r="G583" s="93"/>
      <x:c r="H583" s="93"/>
      <x:c r="I583" s="93"/>
      <x:c r="J583" s="93"/>
      <x:c r="K583" s="93"/>
    </x:row>
    <x:row r="584" s="92" customFormat="1" ht="7.900000095367432" customHeight="1">
      <x:c r="B584" s="93"/>
      <x:c r="C584" s="93"/>
      <x:c r="D584" s="93"/>
      <x:c r="E584" s="93"/>
      <x:c r="F584" s="93"/>
      <x:c r="G584" s="93"/>
      <x:c r="H584" s="93"/>
      <x:c r="I584" s="93"/>
      <x:c r="J584" s="93"/>
      <x:c r="K584" s="93"/>
    </x:row>
    <x:row r="585" s="92" customFormat="1" ht="7.900000095367432" customHeight="1">
      <x:c r="B585" s="93"/>
      <x:c r="C585" s="93"/>
      <x:c r="D585" s="93"/>
      <x:c r="E585" s="93"/>
      <x:c r="F585" s="93"/>
      <x:c r="G585" s="93"/>
      <x:c r="H585" s="93"/>
      <x:c r="I585" s="93"/>
      <x:c r="J585" s="93"/>
      <x:c r="K585" s="93"/>
    </x:row>
    <x:row r="586" s="92" customFormat="1" ht="7.900000095367432" customHeight="1">
      <x:c r="B586" s="93"/>
      <x:c r="C586" s="93"/>
      <x:c r="D586" s="93"/>
      <x:c r="E586" s="93"/>
      <x:c r="F586" s="93"/>
      <x:c r="G586" s="93"/>
      <x:c r="H586" s="93"/>
      <x:c r="I586" s="93"/>
      <x:c r="J586" s="93"/>
      <x:c r="K586" s="93"/>
    </x:row>
    <x:row r="587" s="92" customFormat="1" ht="7.900000095367432" customHeight="1">
      <x:c r="B587" s="93"/>
      <x:c r="C587" s="93"/>
      <x:c r="D587" s="93"/>
      <x:c r="E587" s="93"/>
      <x:c r="F587" s="93"/>
      <x:c r="G587" s="93"/>
      <x:c r="H587" s="93"/>
      <x:c r="I587" s="93"/>
      <x:c r="J587" s="93"/>
      <x:c r="K587" s="93"/>
    </x:row>
    <x:row r="588" s="92" customFormat="1" ht="7.900000095367432" customHeight="1">
      <x:c r="B588" s="93"/>
      <x:c r="C588" s="93"/>
      <x:c r="D588" s="93"/>
      <x:c r="E588" s="93"/>
      <x:c r="F588" s="93"/>
      <x:c r="G588" s="93"/>
      <x:c r="H588" s="93"/>
      <x:c r="I588" s="93"/>
      <x:c r="J588" s="93"/>
      <x:c r="K588" s="93"/>
    </x:row>
    <x:row r="589" s="92" customFormat="1" ht="7.900000095367432" customHeight="1">
      <x:c r="B589" s="93"/>
      <x:c r="C589" s="93"/>
      <x:c r="D589" s="93"/>
      <x:c r="E589" s="93"/>
      <x:c r="F589" s="93"/>
      <x:c r="G589" s="93"/>
      <x:c r="H589" s="93"/>
      <x:c r="I589" s="93"/>
      <x:c r="J589" s="93"/>
      <x:c r="K589" s="93"/>
    </x:row>
    <x:row r="590" s="92" customFormat="1" ht="7.900000095367432" customHeight="1">
      <x:c r="B590" s="93"/>
      <x:c r="C590" s="93"/>
      <x:c r="D590" s="93"/>
      <x:c r="E590" s="93"/>
      <x:c r="F590" s="93"/>
      <x:c r="G590" s="93"/>
      <x:c r="H590" s="93"/>
      <x:c r="I590" s="93"/>
      <x:c r="J590" s="93"/>
      <x:c r="K590" s="93"/>
    </x:row>
    <x:row r="591" s="92" customFormat="1" ht="7.900000095367432" customHeight="1">
      <x:c r="B591" s="93"/>
      <x:c r="C591" s="93"/>
      <x:c r="D591" s="93"/>
      <x:c r="E591" s="93"/>
      <x:c r="F591" s="93"/>
      <x:c r="G591" s="93"/>
      <x:c r="H591" s="93"/>
      <x:c r="I591" s="93"/>
      <x:c r="J591" s="93"/>
      <x:c r="K591" s="93"/>
    </x:row>
    <x:row r="592" s="92" customFormat="1" ht="7.900000095367432" customHeight="1">
      <x:c r="B592" s="93"/>
      <x:c r="C592" s="93"/>
      <x:c r="D592" s="93"/>
      <x:c r="E592" s="93"/>
      <x:c r="F592" s="93"/>
      <x:c r="G592" s="93"/>
      <x:c r="H592" s="93"/>
      <x:c r="I592" s="93"/>
      <x:c r="J592" s="93"/>
      <x:c r="K592" s="93"/>
    </x:row>
    <x:row r="593" s="92" customFormat="1" ht="7.900000095367432" customHeight="1">
      <x:c r="B593" s="93"/>
      <x:c r="C593" s="93"/>
      <x:c r="D593" s="93"/>
      <x:c r="E593" s="93"/>
      <x:c r="F593" s="93"/>
      <x:c r="G593" s="93"/>
      <x:c r="H593" s="93"/>
      <x:c r="I593" s="93"/>
      <x:c r="J593" s="93"/>
      <x:c r="K593" s="93"/>
    </x:row>
    <x:row r="594" s="92" customFormat="1" ht="7.900000095367432" customHeight="1">
      <x:c r="B594" s="93"/>
      <x:c r="C594" s="93"/>
      <x:c r="D594" s="93"/>
      <x:c r="E594" s="93"/>
      <x:c r="F594" s="93"/>
      <x:c r="G594" s="93"/>
      <x:c r="H594" s="93"/>
      <x:c r="I594" s="93"/>
      <x:c r="J594" s="93"/>
      <x:c r="K594" s="93"/>
    </x:row>
    <x:row r="595" s="92" customFormat="1" ht="7.900000095367432" customHeight="1">
      <x:c r="B595" s="93"/>
      <x:c r="C595" s="93"/>
      <x:c r="D595" s="93"/>
      <x:c r="E595" s="93"/>
      <x:c r="F595" s="93"/>
      <x:c r="G595" s="93"/>
      <x:c r="H595" s="93"/>
      <x:c r="I595" s="93"/>
      <x:c r="J595" s="93"/>
      <x:c r="K595" s="93"/>
    </x:row>
    <x:row r="596" s="92" customFormat="1" ht="7.900000095367432" customHeight="1">
      <x:c r="B596" s="93"/>
      <x:c r="C596" s="93"/>
      <x:c r="D596" s="93"/>
      <x:c r="E596" s="93"/>
      <x:c r="F596" s="93"/>
      <x:c r="G596" s="93"/>
      <x:c r="H596" s="93"/>
      <x:c r="I596" s="93"/>
      <x:c r="J596" s="93"/>
      <x:c r="K596" s="93"/>
    </x:row>
    <x:row r="597" s="92" customFormat="1" ht="7.900000095367432" customHeight="1">
      <x:c r="B597" s="93"/>
      <x:c r="C597" s="93"/>
      <x:c r="D597" s="93"/>
      <x:c r="E597" s="93"/>
      <x:c r="F597" s="93"/>
      <x:c r="G597" s="93"/>
      <x:c r="H597" s="93"/>
      <x:c r="I597" s="93"/>
      <x:c r="J597" s="93"/>
      <x:c r="K597" s="93"/>
    </x:row>
    <x:row r="598" s="92" customFormat="1" ht="7.900000095367432" customHeight="1">
      <x:c r="B598" s="93"/>
      <x:c r="C598" s="93"/>
      <x:c r="D598" s="93"/>
      <x:c r="E598" s="93"/>
      <x:c r="F598" s="93"/>
      <x:c r="G598" s="93"/>
      <x:c r="H598" s="93"/>
      <x:c r="I598" s="93"/>
      <x:c r="J598" s="93"/>
      <x:c r="K598" s="93"/>
    </x:row>
    <x:row r="599" s="92" customFormat="1" ht="7.900000095367432" customHeight="1">
      <x:c r="B599" s="93"/>
      <x:c r="C599" s="93"/>
      <x:c r="D599" s="93"/>
      <x:c r="E599" s="93"/>
      <x:c r="F599" s="93"/>
      <x:c r="G599" s="93"/>
      <x:c r="H599" s="93"/>
      <x:c r="I599" s="93"/>
      <x:c r="J599" s="93"/>
      <x:c r="K599" s="93"/>
    </x:row>
    <x:row r="600" s="92" customFormat="1" ht="7.900000095367432" customHeight="1">
      <x:c r="B600" s="93"/>
      <x:c r="C600" s="93"/>
      <x:c r="D600" s="93"/>
      <x:c r="E600" s="93"/>
      <x:c r="F600" s="93"/>
      <x:c r="G600" s="93"/>
      <x:c r="H600" s="93"/>
      <x:c r="I600" s="93"/>
      <x:c r="J600" s="93"/>
      <x:c r="K600" s="93"/>
    </x:row>
    <x:row r="601" s="92" customFormat="1" ht="7.900000095367432" customHeight="1">
      <x:c r="B601" s="93"/>
      <x:c r="C601" s="93"/>
      <x:c r="D601" s="93"/>
      <x:c r="E601" s="93"/>
      <x:c r="F601" s="93"/>
      <x:c r="G601" s="93"/>
      <x:c r="H601" s="93"/>
      <x:c r="I601" s="93"/>
      <x:c r="J601" s="93"/>
      <x:c r="K601" s="93"/>
    </x:row>
    <x:row r="602" s="92" customFormat="1" ht="7.900000095367432" customHeight="1">
      <x:c r="B602" s="93"/>
      <x:c r="C602" s="93"/>
      <x:c r="D602" s="93"/>
      <x:c r="E602" s="93"/>
      <x:c r="F602" s="93"/>
      <x:c r="G602" s="93"/>
      <x:c r="H602" s="93"/>
      <x:c r="I602" s="93"/>
      <x:c r="J602" s="93"/>
      <x:c r="K602" s="93"/>
    </x:row>
    <x:row r="603" s="92" customFormat="1" ht="7.900000095367432" customHeight="1">
      <x:c r="B603" s="93"/>
      <x:c r="C603" s="93"/>
      <x:c r="D603" s="93"/>
      <x:c r="E603" s="93"/>
      <x:c r="F603" s="93"/>
      <x:c r="G603" s="93"/>
      <x:c r="H603" s="93"/>
      <x:c r="I603" s="93"/>
      <x:c r="J603" s="93"/>
      <x:c r="K603" s="93"/>
    </x:row>
    <x:row r="604" s="92" customFormat="1" ht="7.900000095367432" customHeight="1">
      <x:c r="B604" s="93"/>
      <x:c r="C604" s="93"/>
      <x:c r="D604" s="93"/>
      <x:c r="E604" s="93"/>
      <x:c r="F604" s="93"/>
      <x:c r="G604" s="93"/>
      <x:c r="H604" s="93"/>
      <x:c r="I604" s="93"/>
      <x:c r="J604" s="93"/>
      <x:c r="K604" s="93"/>
    </x:row>
    <x:row r="605" s="92" customFormat="1" ht="7.900000095367432" customHeight="1">
      <x:c r="B605" s="93"/>
      <x:c r="C605" s="93"/>
      <x:c r="D605" s="93"/>
      <x:c r="E605" s="93"/>
      <x:c r="F605" s="93"/>
      <x:c r="G605" s="93"/>
      <x:c r="H605" s="93"/>
      <x:c r="I605" s="93"/>
      <x:c r="J605" s="93"/>
      <x:c r="K605" s="93"/>
    </x:row>
    <x:row r="606" s="92" customFormat="1" ht="7.900000095367432" customHeight="1">
      <x:c r="B606" s="93"/>
      <x:c r="C606" s="93"/>
      <x:c r="D606" s="93"/>
      <x:c r="E606" s="93"/>
      <x:c r="F606" s="93"/>
      <x:c r="G606" s="93"/>
      <x:c r="H606" s="93"/>
      <x:c r="I606" s="93"/>
      <x:c r="J606" s="93"/>
      <x:c r="K606" s="93"/>
    </x:row>
    <x:row r="607" s="92" customFormat="1" ht="7.900000095367432" customHeight="1">
      <x:c r="B607" s="93"/>
      <x:c r="C607" s="93"/>
      <x:c r="D607" s="93"/>
      <x:c r="E607" s="93"/>
      <x:c r="F607" s="93"/>
      <x:c r="G607" s="93"/>
      <x:c r="H607" s="93"/>
      <x:c r="I607" s="93"/>
      <x:c r="J607" s="93"/>
      <x:c r="K607" s="93"/>
    </x:row>
    <x:row r="608" s="92" customFormat="1" ht="7.900000095367432" customHeight="1">
      <x:c r="B608" s="93"/>
      <x:c r="C608" s="93"/>
      <x:c r="D608" s="93"/>
      <x:c r="E608" s="93"/>
      <x:c r="F608" s="93"/>
      <x:c r="G608" s="93"/>
      <x:c r="H608" s="93"/>
      <x:c r="I608" s="93"/>
      <x:c r="J608" s="93"/>
      <x:c r="K608" s="93"/>
    </x:row>
    <x:row r="609" s="92" customFormat="1" ht="7.900000095367432" customHeight="1">
      <x:c r="B609" s="93"/>
      <x:c r="C609" s="93"/>
      <x:c r="D609" s="93"/>
      <x:c r="E609" s="93"/>
      <x:c r="F609" s="93"/>
      <x:c r="G609" s="93"/>
      <x:c r="H609" s="93"/>
      <x:c r="I609" s="93"/>
      <x:c r="J609" s="93"/>
      <x:c r="K609" s="93"/>
    </x:row>
    <x:row r="610" s="92" customFormat="1" ht="7.900000095367432" customHeight="1">
      <x:c r="B610" s="93"/>
      <x:c r="C610" s="93"/>
      <x:c r="D610" s="93"/>
      <x:c r="E610" s="93"/>
      <x:c r="F610" s="93"/>
      <x:c r="G610" s="93"/>
      <x:c r="H610" s="93"/>
      <x:c r="I610" s="93"/>
      <x:c r="J610" s="93"/>
      <x:c r="K610" s="93"/>
    </x:row>
    <x:row r="611" s="92" customFormat="1" ht="7.900000095367432" customHeight="1">
      <x:c r="B611" s="93"/>
      <x:c r="C611" s="93"/>
      <x:c r="D611" s="93"/>
      <x:c r="E611" s="93"/>
      <x:c r="F611" s="93"/>
      <x:c r="G611" s="93"/>
      <x:c r="H611" s="93"/>
      <x:c r="I611" s="93"/>
      <x:c r="J611" s="93"/>
      <x:c r="K611" s="93"/>
    </x:row>
    <x:row r="612" s="92" customFormat="1" ht="7.900000095367432" customHeight="1">
      <x:c r="B612" s="93"/>
      <x:c r="C612" s="93"/>
      <x:c r="D612" s="93"/>
      <x:c r="E612" s="93"/>
      <x:c r="F612" s="93"/>
      <x:c r="G612" s="93"/>
      <x:c r="H612" s="93"/>
      <x:c r="I612" s="93"/>
      <x:c r="J612" s="93"/>
      <x:c r="K612" s="93"/>
    </x:row>
    <x:row r="613" s="92" customFormat="1" ht="7.900000095367432" customHeight="1">
      <x:c r="B613" s="93"/>
      <x:c r="C613" s="93"/>
      <x:c r="D613" s="93"/>
      <x:c r="E613" s="93"/>
      <x:c r="F613" s="93"/>
      <x:c r="G613" s="93"/>
      <x:c r="H613" s="93"/>
      <x:c r="I613" s="93"/>
      <x:c r="J613" s="93"/>
      <x:c r="K613" s="93"/>
    </x:row>
    <x:row r="614" s="92" customFormat="1" ht="7.900000095367432" customHeight="1">
      <x:c r="B614" s="93"/>
      <x:c r="C614" s="93"/>
      <x:c r="D614" s="93"/>
      <x:c r="E614" s="93"/>
      <x:c r="F614" s="93"/>
      <x:c r="G614" s="93"/>
      <x:c r="H614" s="93"/>
      <x:c r="I614" s="93"/>
      <x:c r="J614" s="93"/>
      <x:c r="K614" s="93"/>
    </x:row>
    <x:row r="615" s="92" customFormat="1" ht="7.900000095367432" customHeight="1">
      <x:c r="B615" s="93"/>
      <x:c r="C615" s="93"/>
      <x:c r="D615" s="93"/>
      <x:c r="E615" s="93"/>
      <x:c r="F615" s="93"/>
      <x:c r="G615" s="93"/>
      <x:c r="H615" s="93"/>
      <x:c r="I615" s="93"/>
      <x:c r="J615" s="93"/>
      <x:c r="K615" s="93"/>
    </x:row>
    <x:row r="616" s="92" customFormat="1" ht="7.900000095367432" customHeight="1">
      <x:c r="B616" s="93"/>
      <x:c r="C616" s="93"/>
      <x:c r="D616" s="93"/>
      <x:c r="E616" s="93"/>
      <x:c r="F616" s="93"/>
      <x:c r="G616" s="93"/>
      <x:c r="H616" s="93"/>
      <x:c r="I616" s="93"/>
      <x:c r="J616" s="93"/>
      <x:c r="K616" s="93"/>
    </x:row>
    <x:row r="617" s="92" customFormat="1" ht="7.900000095367432" customHeight="1">
      <x:c r="B617" s="93"/>
      <x:c r="C617" s="93"/>
      <x:c r="D617" s="93"/>
      <x:c r="E617" s="93"/>
      <x:c r="F617" s="93"/>
      <x:c r="G617" s="93"/>
      <x:c r="H617" s="93"/>
      <x:c r="I617" s="93"/>
      <x:c r="J617" s="93"/>
      <x:c r="K617" s="93"/>
    </x:row>
    <x:row r="618" s="92" customFormat="1" ht="7.900000095367432" customHeight="1">
      <x:c r="B618" s="93"/>
      <x:c r="C618" s="93"/>
      <x:c r="D618" s="93"/>
      <x:c r="E618" s="93"/>
      <x:c r="F618" s="93"/>
      <x:c r="G618" s="93"/>
      <x:c r="H618" s="93"/>
      <x:c r="I618" s="93"/>
      <x:c r="J618" s="93"/>
      <x:c r="K618" s="93"/>
    </x:row>
    <x:row r="619" s="92" customFormat="1" ht="7.900000095367432" customHeight="1">
      <x:c r="B619" s="93"/>
      <x:c r="C619" s="93"/>
      <x:c r="D619" s="93"/>
      <x:c r="E619" s="93"/>
      <x:c r="F619" s="93"/>
      <x:c r="G619" s="93"/>
      <x:c r="H619" s="93"/>
      <x:c r="I619" s="93"/>
      <x:c r="J619" s="93"/>
      <x:c r="K619" s="93"/>
    </x:row>
    <x:row r="620" s="92" customFormat="1" ht="7.900000095367432" customHeight="1">
      <x:c r="B620" s="93"/>
      <x:c r="C620" s="93"/>
      <x:c r="D620" s="93"/>
      <x:c r="E620" s="93"/>
      <x:c r="F620" s="93"/>
      <x:c r="G620" s="93"/>
      <x:c r="H620" s="93"/>
      <x:c r="I620" s="93"/>
      <x:c r="J620" s="93"/>
      <x:c r="K620" s="93"/>
    </x:row>
    <x:row r="621" s="92" customFormat="1" ht="7.900000095367432" customHeight="1">
      <x:c r="B621" s="93"/>
      <x:c r="C621" s="93"/>
      <x:c r="D621" s="93"/>
      <x:c r="E621" s="93"/>
      <x:c r="F621" s="93"/>
      <x:c r="G621" s="93"/>
      <x:c r="H621" s="93"/>
      <x:c r="I621" s="93"/>
      <x:c r="J621" s="93"/>
      <x:c r="K621" s="93"/>
    </x:row>
    <x:row r="622" s="92" customFormat="1" ht="7.900000095367432" customHeight="1">
      <x:c r="B622" s="93"/>
      <x:c r="C622" s="93"/>
      <x:c r="D622" s="93"/>
      <x:c r="E622" s="93"/>
      <x:c r="F622" s="93"/>
      <x:c r="G622" s="93"/>
      <x:c r="H622" s="93"/>
      <x:c r="I622" s="93"/>
      <x:c r="J622" s="93"/>
      <x:c r="K622" s="93"/>
    </x:row>
    <x:row r="623" s="92" customFormat="1" ht="7.900000095367432" customHeight="1">
      <x:c r="B623" s="93"/>
      <x:c r="C623" s="93"/>
      <x:c r="D623" s="93"/>
      <x:c r="E623" s="93"/>
      <x:c r="F623" s="93"/>
      <x:c r="G623" s="93"/>
      <x:c r="H623" s="93"/>
      <x:c r="I623" s="93"/>
      <x:c r="J623" s="93"/>
      <x:c r="K623" s="93"/>
    </x:row>
    <x:row r="624" s="92" customFormat="1" ht="7.900000095367432" customHeight="1">
      <x:c r="B624" s="93"/>
      <x:c r="C624" s="93"/>
      <x:c r="D624" s="93"/>
      <x:c r="E624" s="93"/>
      <x:c r="F624" s="93"/>
      <x:c r="G624" s="93"/>
      <x:c r="H624" s="93"/>
      <x:c r="I624" s="93"/>
      <x:c r="J624" s="93"/>
      <x:c r="K624" s="93"/>
    </x:row>
    <x:row r="625" s="92" customFormat="1" ht="7.900000095367432" customHeight="1">
      <x:c r="B625" s="93"/>
      <x:c r="C625" s="93"/>
      <x:c r="D625" s="93"/>
      <x:c r="E625" s="93"/>
      <x:c r="F625" s="93"/>
      <x:c r="G625" s="93"/>
      <x:c r="H625" s="93"/>
      <x:c r="I625" s="93"/>
      <x:c r="J625" s="93"/>
      <x:c r="K625" s="93"/>
    </x:row>
    <x:row r="626" s="92" customFormat="1" ht="7.900000095367432" customHeight="1">
      <x:c r="B626" s="93"/>
      <x:c r="C626" s="93"/>
      <x:c r="D626" s="93"/>
      <x:c r="E626" s="93"/>
      <x:c r="F626" s="93"/>
      <x:c r="G626" s="93"/>
      <x:c r="H626" s="93"/>
      <x:c r="I626" s="93"/>
      <x:c r="J626" s="93"/>
      <x:c r="K626" s="93"/>
    </x:row>
    <x:row r="627" s="92" customFormat="1" ht="7.900000095367432" customHeight="1">
      <x:c r="B627" s="93"/>
      <x:c r="C627" s="93"/>
      <x:c r="D627" s="93"/>
      <x:c r="E627" s="93"/>
      <x:c r="F627" s="93"/>
      <x:c r="G627" s="93"/>
      <x:c r="H627" s="93"/>
      <x:c r="I627" s="93"/>
      <x:c r="J627" s="93"/>
      <x:c r="K627" s="93"/>
    </x:row>
    <x:row r="628" s="92" customFormat="1" ht="7.900000095367432" customHeight="1">
      <x:c r="B628" s="93"/>
      <x:c r="C628" s="93"/>
      <x:c r="D628" s="93"/>
      <x:c r="E628" s="93"/>
      <x:c r="F628" s="93"/>
      <x:c r="G628" s="93"/>
      <x:c r="H628" s="93"/>
      <x:c r="I628" s="93"/>
      <x:c r="J628" s="93"/>
      <x:c r="K628" s="93"/>
    </x:row>
    <x:row r="629" s="92" customFormat="1" ht="7.900000095367432" customHeight="1">
      <x:c r="B629" s="93"/>
      <x:c r="C629" s="93"/>
      <x:c r="D629" s="93"/>
      <x:c r="E629" s="93"/>
      <x:c r="F629" s="93"/>
      <x:c r="G629" s="93"/>
      <x:c r="H629" s="93"/>
      <x:c r="I629" s="93"/>
      <x:c r="J629" s="93"/>
      <x:c r="K629" s="93"/>
    </x:row>
    <x:row r="630" s="92" customFormat="1" ht="7.900000095367432" customHeight="1">
      <x:c r="B630" s="93"/>
      <x:c r="C630" s="93"/>
      <x:c r="D630" s="93"/>
      <x:c r="E630" s="93"/>
      <x:c r="F630" s="93"/>
      <x:c r="G630" s="93"/>
      <x:c r="H630" s="93"/>
      <x:c r="I630" s="93"/>
      <x:c r="J630" s="93"/>
      <x:c r="K630" s="93"/>
    </x:row>
    <x:row r="631" s="92" customFormat="1" ht="7.900000095367432" customHeight="1">
      <x:c r="B631" s="93"/>
      <x:c r="C631" s="93"/>
      <x:c r="D631" s="93"/>
      <x:c r="E631" s="93"/>
      <x:c r="F631" s="93"/>
      <x:c r="G631" s="93"/>
      <x:c r="H631" s="93"/>
      <x:c r="I631" s="93"/>
      <x:c r="J631" s="93"/>
      <x:c r="K631" s="93"/>
    </x:row>
    <x:row r="632" s="92" customFormat="1" ht="7.900000095367432" customHeight="1">
      <x:c r="B632" s="93"/>
      <x:c r="C632" s="93"/>
      <x:c r="D632" s="93"/>
      <x:c r="E632" s="93"/>
      <x:c r="F632" s="93"/>
      <x:c r="G632" s="93"/>
      <x:c r="H632" s="93"/>
      <x:c r="I632" s="93"/>
      <x:c r="J632" s="93"/>
      <x:c r="K632" s="93"/>
    </x:row>
    <x:row r="633" s="92" customFormat="1" ht="7.900000095367432" customHeight="1">
      <x:c r="B633" s="93"/>
      <x:c r="C633" s="93"/>
      <x:c r="D633" s="93"/>
      <x:c r="E633" s="93"/>
      <x:c r="F633" s="93"/>
      <x:c r="G633" s="93"/>
      <x:c r="H633" s="93"/>
      <x:c r="I633" s="93"/>
      <x:c r="J633" s="93"/>
      <x:c r="K633" s="93"/>
    </x:row>
    <x:row r="634" s="92" customFormat="1" ht="7.900000095367432" customHeight="1">
      <x:c r="B634" s="93"/>
      <x:c r="C634" s="93"/>
      <x:c r="D634" s="93"/>
      <x:c r="E634" s="93"/>
      <x:c r="F634" s="93"/>
      <x:c r="G634" s="93"/>
      <x:c r="H634" s="93"/>
      <x:c r="I634" s="93"/>
      <x:c r="J634" s="93"/>
      <x:c r="K634" s="93"/>
    </x:row>
    <x:row r="635" s="92" customFormat="1" ht="7.900000095367432" customHeight="1">
      <x:c r="B635" s="93"/>
      <x:c r="C635" s="93"/>
      <x:c r="D635" s="93"/>
      <x:c r="E635" s="93"/>
      <x:c r="F635" s="93"/>
      <x:c r="G635" s="93"/>
      <x:c r="H635" s="93"/>
      <x:c r="I635" s="93"/>
      <x:c r="J635" s="93"/>
      <x:c r="K635" s="93"/>
    </x:row>
    <x:row r="636" s="92" customFormat="1" ht="7.900000095367432" customHeight="1">
      <x:c r="B636" s="93"/>
      <x:c r="C636" s="93"/>
      <x:c r="D636" s="93"/>
      <x:c r="E636" s="93"/>
      <x:c r="F636" s="93"/>
      <x:c r="G636" s="93"/>
      <x:c r="H636" s="93"/>
      <x:c r="I636" s="93"/>
      <x:c r="J636" s="93"/>
      <x:c r="K636" s="93"/>
    </x:row>
    <x:row r="637" s="92" customFormat="1" ht="7.900000095367432" customHeight="1">
      <x:c r="B637" s="93"/>
      <x:c r="C637" s="93"/>
      <x:c r="D637" s="93"/>
      <x:c r="E637" s="93"/>
      <x:c r="F637" s="93"/>
      <x:c r="G637" s="93"/>
      <x:c r="H637" s="93"/>
      <x:c r="I637" s="93"/>
      <x:c r="J637" s="93"/>
      <x:c r="K637" s="93"/>
    </x:row>
    <x:row r="638" s="92" customFormat="1" ht="7.900000095367432" customHeight="1">
      <x:c r="B638" s="93"/>
      <x:c r="C638" s="93"/>
      <x:c r="D638" s="93"/>
      <x:c r="E638" s="93"/>
      <x:c r="F638" s="93"/>
      <x:c r="G638" s="93"/>
      <x:c r="H638" s="93"/>
      <x:c r="I638" s="93"/>
      <x:c r="J638" s="93"/>
      <x:c r="K638" s="93"/>
    </x:row>
    <x:row r="639" s="92" customFormat="1" ht="7.900000095367432" customHeight="1">
      <x:c r="B639" s="93"/>
      <x:c r="C639" s="93"/>
      <x:c r="D639" s="93"/>
      <x:c r="E639" s="93"/>
      <x:c r="F639" s="93"/>
      <x:c r="G639" s="93"/>
      <x:c r="H639" s="93"/>
      <x:c r="I639" s="93"/>
      <x:c r="J639" s="93"/>
      <x:c r="K639" s="93"/>
    </x:row>
    <x:row r="640" s="92" customFormat="1" ht="7.900000095367432" customHeight="1">
      <x:c r="B640" s="93"/>
      <x:c r="C640" s="93"/>
      <x:c r="D640" s="93"/>
      <x:c r="E640" s="93"/>
      <x:c r="F640" s="93"/>
      <x:c r="G640" s="93"/>
      <x:c r="H640" s="93"/>
      <x:c r="I640" s="93"/>
      <x:c r="J640" s="93"/>
      <x:c r="K640" s="93"/>
    </x:row>
    <x:row r="641" s="92" customFormat="1" ht="7.900000095367432" customHeight="1">
      <x:c r="B641" s="93"/>
      <x:c r="C641" s="93"/>
      <x:c r="D641" s="93"/>
      <x:c r="E641" s="93"/>
      <x:c r="F641" s="93"/>
      <x:c r="G641" s="93"/>
      <x:c r="H641" s="93"/>
      <x:c r="I641" s="93"/>
      <x:c r="J641" s="93"/>
      <x:c r="K641" s="93"/>
    </x:row>
    <x:row r="642" s="92" customFormat="1" ht="7.900000095367432" customHeight="1">
      <x:c r="B642" s="93"/>
      <x:c r="C642" s="93"/>
      <x:c r="D642" s="93"/>
      <x:c r="E642" s="93"/>
      <x:c r="F642" s="93"/>
      <x:c r="G642" s="93"/>
      <x:c r="H642" s="93"/>
      <x:c r="I642" s="93"/>
      <x:c r="J642" s="93"/>
      <x:c r="K642" s="93"/>
    </x:row>
    <x:row r="643" s="92" customFormat="1" ht="7.900000095367432" customHeight="1">
      <x:c r="B643" s="93"/>
      <x:c r="C643" s="93"/>
      <x:c r="D643" s="93"/>
      <x:c r="E643" s="93"/>
      <x:c r="F643" s="93"/>
      <x:c r="G643" s="93"/>
      <x:c r="H643" s="93"/>
      <x:c r="I643" s="93"/>
      <x:c r="J643" s="93"/>
      <x:c r="K643" s="93"/>
    </x:row>
    <x:row r="644" s="92" customFormat="1" ht="7.900000095367432" customHeight="1">
      <x:c r="B644" s="93"/>
      <x:c r="C644" s="93"/>
      <x:c r="D644" s="93"/>
      <x:c r="E644" s="93"/>
      <x:c r="F644" s="93"/>
      <x:c r="G644" s="93"/>
      <x:c r="H644" s="93"/>
      <x:c r="I644" s="93"/>
      <x:c r="J644" s="93"/>
      <x:c r="K644" s="93"/>
    </x:row>
    <x:row r="645" s="92" customFormat="1" ht="7.900000095367432" customHeight="1">
      <x:c r="B645" s="93"/>
      <x:c r="C645" s="93"/>
      <x:c r="D645" s="93"/>
      <x:c r="E645" s="93"/>
      <x:c r="F645" s="93"/>
      <x:c r="G645" s="93"/>
      <x:c r="H645" s="93"/>
      <x:c r="I645" s="93"/>
      <x:c r="J645" s="93"/>
      <x:c r="K645" s="93"/>
    </x:row>
    <x:row r="646" s="92" customFormat="1" ht="7.900000095367432" customHeight="1">
      <x:c r="B646" s="93"/>
      <x:c r="C646" s="93"/>
      <x:c r="D646" s="93"/>
      <x:c r="E646" s="93"/>
      <x:c r="F646" s="93"/>
      <x:c r="G646" s="93"/>
      <x:c r="H646" s="93"/>
      <x:c r="I646" s="93"/>
      <x:c r="J646" s="93"/>
      <x:c r="K646" s="93"/>
    </x:row>
    <x:row r="647" s="92" customFormat="1" ht="7.900000095367432" customHeight="1">
      <x:c r="B647" s="93"/>
      <x:c r="C647" s="93"/>
      <x:c r="D647" s="93"/>
      <x:c r="E647" s="93"/>
      <x:c r="F647" s="93"/>
      <x:c r="G647" s="93"/>
      <x:c r="H647" s="93"/>
      <x:c r="I647" s="93"/>
      <x:c r="J647" s="93"/>
      <x:c r="K647" s="93"/>
    </x:row>
    <x:row r="648" s="92" customFormat="1" ht="7.900000095367432" customHeight="1">
      <x:c r="B648" s="93"/>
      <x:c r="C648" s="93"/>
      <x:c r="D648" s="93"/>
      <x:c r="E648" s="93"/>
      <x:c r="F648" s="93"/>
      <x:c r="G648" s="93"/>
      <x:c r="H648" s="93"/>
      <x:c r="I648" s="93"/>
      <x:c r="J648" s="93"/>
      <x:c r="K648" s="93"/>
    </x:row>
    <x:row r="649" s="92" customFormat="1" ht="7.900000095367432" customHeight="1">
      <x:c r="B649" s="93"/>
      <x:c r="C649" s="93"/>
      <x:c r="D649" s="93"/>
      <x:c r="E649" s="93"/>
      <x:c r="F649" s="93"/>
      <x:c r="G649" s="93"/>
      <x:c r="H649" s="93"/>
      <x:c r="I649" s="93"/>
      <x:c r="J649" s="93"/>
      <x:c r="K649" s="93"/>
    </x:row>
    <x:row r="650" s="92" customFormat="1" ht="7.900000095367432" customHeight="1">
      <x:c r="B650" s="93"/>
      <x:c r="C650" s="93"/>
      <x:c r="D650" s="93"/>
      <x:c r="E650" s="93"/>
      <x:c r="F650" s="93"/>
      <x:c r="G650" s="93"/>
      <x:c r="H650" s="93"/>
      <x:c r="I650" s="93"/>
      <x:c r="J650" s="93"/>
      <x:c r="K650" s="93"/>
    </x:row>
    <x:row r="651" s="92" customFormat="1" ht="7.900000095367432" customHeight="1">
      <x:c r="B651" s="93"/>
      <x:c r="C651" s="93"/>
      <x:c r="D651" s="93"/>
      <x:c r="E651" s="93"/>
      <x:c r="F651" s="93"/>
      <x:c r="G651" s="93"/>
      <x:c r="H651" s="93"/>
      <x:c r="I651" s="93"/>
      <x:c r="J651" s="93"/>
      <x:c r="K651" s="93"/>
    </x:row>
    <x:row r="652" s="92" customFormat="1" ht="7.900000095367432" customHeight="1">
      <x:c r="B652" s="93"/>
      <x:c r="C652" s="93"/>
      <x:c r="D652" s="93"/>
      <x:c r="E652" s="93"/>
      <x:c r="F652" s="93"/>
      <x:c r="G652" s="93"/>
      <x:c r="H652" s="93"/>
      <x:c r="I652" s="93"/>
      <x:c r="J652" s="93"/>
      <x:c r="K652" s="93"/>
    </x:row>
    <x:row r="653" s="92" customFormat="1" ht="7.900000095367432" customHeight="1">
      <x:c r="B653" s="93"/>
      <x:c r="C653" s="93"/>
      <x:c r="D653" s="93"/>
      <x:c r="E653" s="93"/>
      <x:c r="F653" s="93"/>
      <x:c r="G653" s="93"/>
      <x:c r="H653" s="93"/>
      <x:c r="I653" s="93"/>
      <x:c r="J653" s="93"/>
      <x:c r="K653" s="93"/>
    </x:row>
    <x:row r="654" s="92" customFormat="1" ht="7.900000095367432" customHeight="1">
      <x:c r="B654" s="93"/>
      <x:c r="C654" s="93"/>
      <x:c r="D654" s="93"/>
      <x:c r="E654" s="93"/>
      <x:c r="F654" s="93"/>
      <x:c r="G654" s="93"/>
      <x:c r="H654" s="93"/>
      <x:c r="I654" s="93"/>
      <x:c r="J654" s="93"/>
      <x:c r="K654" s="93"/>
    </x:row>
    <x:row r="655" s="92" customFormat="1" ht="7.900000095367432" customHeight="1">
      <x:c r="B655" s="93"/>
      <x:c r="C655" s="93"/>
      <x:c r="D655" s="93"/>
      <x:c r="E655" s="93"/>
      <x:c r="F655" s="93"/>
      <x:c r="G655" s="93"/>
      <x:c r="H655" s="93"/>
      <x:c r="I655" s="93"/>
      <x:c r="J655" s="93"/>
      <x:c r="K655" s="93"/>
    </x:row>
    <x:row r="656" s="92" customFormat="1" ht="7.900000095367432" customHeight="1">
      <x:c r="B656" s="93"/>
      <x:c r="C656" s="93"/>
      <x:c r="D656" s="93"/>
      <x:c r="E656" s="93"/>
      <x:c r="F656" s="93"/>
      <x:c r="G656" s="93"/>
      <x:c r="H656" s="93"/>
      <x:c r="I656" s="93"/>
      <x:c r="J656" s="93"/>
      <x:c r="K656" s="93"/>
    </x:row>
    <x:row r="657" s="92" customFormat="1" ht="7.900000095367432" customHeight="1">
      <x:c r="B657" s="93"/>
      <x:c r="C657" s="93"/>
      <x:c r="D657" s="93"/>
      <x:c r="E657" s="93"/>
      <x:c r="F657" s="93"/>
      <x:c r="G657" s="93"/>
      <x:c r="H657" s="93"/>
      <x:c r="I657" s="93"/>
      <x:c r="J657" s="93"/>
      <x:c r="K657" s="93"/>
    </x:row>
    <x:row r="658" s="92" customFormat="1" ht="7.900000095367432" customHeight="1">
      <x:c r="B658" s="93"/>
      <x:c r="C658" s="93"/>
      <x:c r="D658" s="93"/>
      <x:c r="E658" s="93"/>
      <x:c r="F658" s="93"/>
      <x:c r="G658" s="93"/>
      <x:c r="H658" s="93"/>
      <x:c r="I658" s="93"/>
      <x:c r="J658" s="93"/>
      <x:c r="K658" s="93"/>
    </x:row>
    <x:row r="659" s="92" customFormat="1" ht="7.900000095367432" customHeight="1">
      <x:c r="B659" s="93"/>
      <x:c r="C659" s="93"/>
      <x:c r="D659" s="93"/>
      <x:c r="E659" s="93"/>
      <x:c r="F659" s="93"/>
      <x:c r="G659" s="93"/>
      <x:c r="H659" s="93"/>
      <x:c r="I659" s="93"/>
      <x:c r="J659" s="93"/>
      <x:c r="K659" s="93"/>
    </x:row>
    <x:row r="660" s="92" customFormat="1" ht="7.900000095367432" customHeight="1">
      <x:c r="B660" s="93"/>
      <x:c r="C660" s="93"/>
      <x:c r="D660" s="93"/>
      <x:c r="E660" s="93"/>
      <x:c r="F660" s="93"/>
      <x:c r="G660" s="93"/>
      <x:c r="H660" s="93"/>
      <x:c r="I660" s="93"/>
      <x:c r="J660" s="93"/>
      <x:c r="K660" s="93"/>
    </x:row>
    <x:row r="661" s="92" customFormat="1" ht="7.900000095367432" customHeight="1">
      <x:c r="B661" s="93"/>
      <x:c r="C661" s="93"/>
      <x:c r="D661" s="93"/>
      <x:c r="E661" s="93"/>
      <x:c r="F661" s="93"/>
      <x:c r="G661" s="93"/>
      <x:c r="H661" s="93"/>
      <x:c r="I661" s="93"/>
      <x:c r="J661" s="93"/>
      <x:c r="K661" s="93"/>
    </x:row>
    <x:row r="662" s="92" customFormat="1" ht="7.900000095367432" customHeight="1">
      <x:c r="B662" s="93"/>
      <x:c r="C662" s="93"/>
      <x:c r="D662" s="93"/>
      <x:c r="E662" s="93"/>
      <x:c r="F662" s="93"/>
      <x:c r="G662" s="93"/>
      <x:c r="H662" s="93"/>
      <x:c r="I662" s="93"/>
      <x:c r="J662" s="93"/>
      <x:c r="K662" s="93"/>
    </x:row>
    <x:row r="663" s="92" customFormat="1" ht="7.900000095367432" customHeight="1">
      <x:c r="B663" s="93"/>
      <x:c r="C663" s="93"/>
      <x:c r="D663" s="93"/>
      <x:c r="E663" s="93"/>
      <x:c r="F663" s="93"/>
      <x:c r="G663" s="93"/>
      <x:c r="H663" s="93"/>
      <x:c r="I663" s="93"/>
      <x:c r="J663" s="93"/>
      <x:c r="K663" s="93"/>
    </x:row>
    <x:row r="664" s="92" customFormat="1" ht="7.900000095367432" customHeight="1">
      <x:c r="B664" s="93"/>
      <x:c r="C664" s="93"/>
      <x:c r="D664" s="93"/>
      <x:c r="E664" s="93"/>
      <x:c r="F664" s="93"/>
      <x:c r="G664" s="93"/>
      <x:c r="H664" s="93"/>
      <x:c r="I664" s="93"/>
      <x:c r="J664" s="93"/>
      <x:c r="K664" s="93"/>
    </x:row>
    <x:row r="665" s="92" customFormat="1" ht="7.900000095367432" customHeight="1">
      <x:c r="B665" s="93"/>
      <x:c r="C665" s="93"/>
      <x:c r="D665" s="93"/>
      <x:c r="E665" s="93"/>
      <x:c r="F665" s="93"/>
      <x:c r="G665" s="93"/>
      <x:c r="H665" s="93"/>
      <x:c r="I665" s="93"/>
      <x:c r="J665" s="93"/>
      <x:c r="K665" s="93"/>
    </x:row>
    <x:row r="666" s="92" customFormat="1" ht="7.900000095367432" customHeight="1">
      <x:c r="B666" s="93"/>
      <x:c r="C666" s="93"/>
      <x:c r="D666" s="93"/>
      <x:c r="E666" s="93"/>
      <x:c r="F666" s="93"/>
      <x:c r="G666" s="93"/>
      <x:c r="H666" s="93"/>
      <x:c r="I666" s="93"/>
      <x:c r="J666" s="93"/>
      <x:c r="K666" s="93"/>
    </x:row>
    <x:row r="667" s="92" customFormat="1" ht="7.900000095367432" customHeight="1">
      <x:c r="B667" s="93"/>
      <x:c r="C667" s="93"/>
      <x:c r="D667" s="93"/>
      <x:c r="E667" s="93"/>
      <x:c r="F667" s="93"/>
      <x:c r="G667" s="93"/>
      <x:c r="H667" s="93"/>
      <x:c r="I667" s="93"/>
      <x:c r="J667" s="93"/>
      <x:c r="K667" s="93"/>
    </x:row>
    <x:row r="668" s="92" customFormat="1" ht="7.900000095367432" customHeight="1">
      <x:c r="B668" s="93"/>
      <x:c r="C668" s="93"/>
      <x:c r="D668" s="93"/>
      <x:c r="E668" s="93"/>
      <x:c r="F668" s="93"/>
      <x:c r="G668" s="93"/>
      <x:c r="H668" s="93"/>
      <x:c r="I668" s="93"/>
      <x:c r="J668" s="93"/>
      <x:c r="K668" s="93"/>
    </x:row>
    <x:row r="669" s="92" customFormat="1" ht="7.900000095367432" customHeight="1">
      <x:c r="B669" s="93"/>
      <x:c r="C669" s="93"/>
      <x:c r="D669" s="93"/>
      <x:c r="E669" s="93"/>
      <x:c r="F669" s="93"/>
      <x:c r="G669" s="93"/>
      <x:c r="H669" s="93"/>
      <x:c r="I669" s="93"/>
      <x:c r="J669" s="93"/>
      <x:c r="K669" s="93"/>
    </x:row>
    <x:row r="670" s="92" customFormat="1" ht="7.900000095367432" customHeight="1">
      <x:c r="B670" s="93"/>
      <x:c r="C670" s="93"/>
      <x:c r="D670" s="93"/>
      <x:c r="E670" s="93"/>
      <x:c r="F670" s="93"/>
      <x:c r="G670" s="93"/>
      <x:c r="H670" s="93"/>
      <x:c r="I670" s="93"/>
      <x:c r="J670" s="93"/>
      <x:c r="K670" s="93"/>
    </x:row>
    <x:row r="671" s="92" customFormat="1" ht="7.900000095367432" customHeight="1">
      <x:c r="B671" s="93"/>
      <x:c r="C671" s="93"/>
      <x:c r="D671" s="93"/>
      <x:c r="E671" s="93"/>
      <x:c r="F671" s="93"/>
      <x:c r="G671" s="93"/>
      <x:c r="H671" s="93"/>
      <x:c r="I671" s="93"/>
      <x:c r="J671" s="93"/>
      <x:c r="K671" s="93"/>
    </x:row>
    <x:row r="672" s="92" customFormat="1" ht="7.900000095367432" customHeight="1">
      <x:c r="B672" s="93"/>
      <x:c r="C672" s="93"/>
      <x:c r="D672" s="93"/>
      <x:c r="E672" s="93"/>
      <x:c r="F672" s="93"/>
      <x:c r="G672" s="93"/>
      <x:c r="H672" s="93"/>
      <x:c r="I672" s="93"/>
      <x:c r="J672" s="93"/>
      <x:c r="K672" s="93"/>
    </x:row>
    <x:row r="673" s="92" customFormat="1" ht="7.900000095367432" customHeight="1">
      <x:c r="B673" s="93"/>
      <x:c r="C673" s="93"/>
      <x:c r="D673" s="93"/>
      <x:c r="E673" s="93"/>
      <x:c r="F673" s="93"/>
      <x:c r="G673" s="93"/>
      <x:c r="H673" s="93"/>
      <x:c r="I673" s="93"/>
      <x:c r="J673" s="93"/>
      <x:c r="K673" s="93"/>
    </x:row>
    <x:row r="674" s="92" customFormat="1" ht="7.900000095367432" customHeight="1">
      <x:c r="B674" s="93"/>
      <x:c r="C674" s="93"/>
      <x:c r="D674" s="93"/>
      <x:c r="E674" s="93"/>
      <x:c r="F674" s="93"/>
      <x:c r="G674" s="93"/>
      <x:c r="H674" s="93"/>
      <x:c r="I674" s="93"/>
      <x:c r="J674" s="93"/>
      <x:c r="K674" s="93"/>
    </x:row>
    <x:row r="675" s="92" customFormat="1" ht="7.900000095367432" customHeight="1">
      <x:c r="B675" s="93"/>
      <x:c r="C675" s="93"/>
      <x:c r="D675" s="93"/>
      <x:c r="E675" s="93"/>
      <x:c r="F675" s="93"/>
      <x:c r="G675" s="93"/>
      <x:c r="H675" s="93"/>
      <x:c r="I675" s="93"/>
      <x:c r="J675" s="93"/>
      <x:c r="K675" s="93"/>
    </x:row>
    <x:row r="676" s="92" customFormat="1" ht="7.900000095367432" customHeight="1">
      <x:c r="B676" s="93"/>
      <x:c r="C676" s="93"/>
      <x:c r="D676" s="93"/>
      <x:c r="E676" s="93"/>
      <x:c r="F676" s="93"/>
      <x:c r="G676" s="93"/>
      <x:c r="H676" s="93"/>
      <x:c r="I676" s="93"/>
      <x:c r="J676" s="93"/>
      <x:c r="K676" s="93"/>
    </x:row>
    <x:row r="677" s="92" customFormat="1" ht="7.900000095367432" customHeight="1">
      <x:c r="B677" s="93"/>
      <x:c r="C677" s="93"/>
      <x:c r="D677" s="93"/>
      <x:c r="E677" s="93"/>
      <x:c r="F677" s="93"/>
      <x:c r="G677" s="93"/>
      <x:c r="H677" s="93"/>
      <x:c r="I677" s="93"/>
      <x:c r="J677" s="93"/>
      <x:c r="K677" s="93"/>
    </x:row>
    <x:row r="678" s="92" customFormat="1" ht="7.900000095367432" customHeight="1">
      <x:c r="B678" s="93"/>
      <x:c r="C678" s="93"/>
      <x:c r="D678" s="93"/>
      <x:c r="E678" s="93"/>
      <x:c r="F678" s="93"/>
      <x:c r="G678" s="93"/>
      <x:c r="H678" s="93"/>
      <x:c r="I678" s="93"/>
      <x:c r="J678" s="93"/>
      <x:c r="K678" s="93"/>
    </x:row>
    <x:row r="679" s="92" customFormat="1" ht="7.900000095367432" customHeight="1">
      <x:c r="B679" s="93"/>
      <x:c r="C679" s="93"/>
      <x:c r="D679" s="93"/>
      <x:c r="E679" s="93"/>
      <x:c r="F679" s="93"/>
      <x:c r="G679" s="93"/>
      <x:c r="H679" s="93"/>
      <x:c r="I679" s="93"/>
      <x:c r="J679" s="93"/>
      <x:c r="K679" s="93"/>
    </x:row>
    <x:row r="680" s="92" customFormat="1" ht="7.900000095367432" customHeight="1">
      <x:c r="B680" s="93"/>
      <x:c r="C680" s="93"/>
      <x:c r="D680" s="93"/>
      <x:c r="E680" s="93"/>
      <x:c r="F680" s="93"/>
      <x:c r="G680" s="93"/>
      <x:c r="H680" s="93"/>
      <x:c r="I680" s="93"/>
      <x:c r="J680" s="93"/>
      <x:c r="K680" s="93"/>
    </x:row>
    <x:row r="681" s="92" customFormat="1" ht="7.900000095367432" customHeight="1">
      <x:c r="B681" s="93"/>
      <x:c r="C681" s="93"/>
      <x:c r="D681" s="93"/>
      <x:c r="E681" s="93"/>
      <x:c r="F681" s="93"/>
      <x:c r="G681" s="93"/>
      <x:c r="H681" s="93"/>
      <x:c r="I681" s="93"/>
      <x:c r="J681" s="93"/>
      <x:c r="K681" s="93"/>
    </x:row>
    <x:row r="682" s="92" customFormat="1" ht="7.900000095367432" customHeight="1">
      <x:c r="B682" s="93"/>
      <x:c r="C682" s="93"/>
      <x:c r="D682" s="93"/>
      <x:c r="E682" s="93"/>
      <x:c r="F682" s="93"/>
      <x:c r="G682" s="93"/>
      <x:c r="H682" s="93"/>
      <x:c r="I682" s="93"/>
      <x:c r="J682" s="93"/>
      <x:c r="K682" s="93"/>
    </x:row>
    <x:row r="683" s="92" customFormat="1" ht="7.900000095367432" customHeight="1">
      <x:c r="B683" s="93"/>
      <x:c r="C683" s="93"/>
      <x:c r="D683" s="93"/>
      <x:c r="E683" s="93"/>
      <x:c r="F683" s="93"/>
      <x:c r="G683" s="93"/>
      <x:c r="H683" s="93"/>
      <x:c r="I683" s="93"/>
      <x:c r="J683" s="93"/>
      <x:c r="K683" s="93"/>
    </x:row>
    <x:row r="684" s="92" customFormat="1" ht="7.900000095367432" customHeight="1">
      <x:c r="B684" s="93"/>
      <x:c r="C684" s="93"/>
      <x:c r="D684" s="93"/>
      <x:c r="E684" s="93"/>
      <x:c r="F684" s="93"/>
      <x:c r="G684" s="93"/>
      <x:c r="H684" s="93"/>
      <x:c r="I684" s="93"/>
      <x:c r="J684" s="93"/>
      <x:c r="K684" s="93"/>
    </x:row>
    <x:row r="685" s="92" customFormat="1" ht="7.900000095367432" customHeight="1">
      <x:c r="B685" s="93"/>
      <x:c r="C685" s="93"/>
      <x:c r="D685" s="93"/>
      <x:c r="E685" s="93"/>
      <x:c r="F685" s="93"/>
      <x:c r="G685" s="93"/>
      <x:c r="H685" s="93"/>
      <x:c r="I685" s="93"/>
      <x:c r="J685" s="93"/>
      <x:c r="K685" s="93"/>
    </x:row>
    <x:row r="686" s="92" customFormat="1" ht="7.900000095367432" customHeight="1">
      <x:c r="B686" s="93"/>
      <x:c r="C686" s="93"/>
      <x:c r="D686" s="93"/>
      <x:c r="E686" s="93"/>
      <x:c r="F686" s="93"/>
      <x:c r="G686" s="93"/>
      <x:c r="H686" s="93"/>
      <x:c r="I686" s="93"/>
      <x:c r="J686" s="93"/>
      <x:c r="K686" s="93"/>
    </x:row>
    <x:row r="687" s="92" customFormat="1" ht="7.900000095367432" customHeight="1">
      <x:c r="B687" s="93"/>
      <x:c r="C687" s="93"/>
      <x:c r="D687" s="93"/>
      <x:c r="E687" s="93"/>
      <x:c r="F687" s="93"/>
      <x:c r="G687" s="93"/>
      <x:c r="H687" s="93"/>
      <x:c r="I687" s="93"/>
      <x:c r="J687" s="93"/>
      <x:c r="K687" s="93"/>
    </x:row>
    <x:row r="688" s="92" customFormat="1" ht="7.900000095367432" customHeight="1">
      <x:c r="B688" s="93"/>
      <x:c r="C688" s="93"/>
      <x:c r="D688" s="93"/>
      <x:c r="E688" s="93"/>
      <x:c r="F688" s="93"/>
      <x:c r="G688" s="93"/>
      <x:c r="H688" s="93"/>
      <x:c r="I688" s="93"/>
      <x:c r="J688" s="93"/>
      <x:c r="K688" s="93"/>
    </x:row>
    <x:row r="689" s="92" customFormat="1" ht="7.900000095367432" customHeight="1">
      <x:c r="B689" s="93"/>
      <x:c r="C689" s="93"/>
      <x:c r="D689" s="93"/>
      <x:c r="E689" s="93"/>
      <x:c r="F689" s="93"/>
      <x:c r="G689" s="93"/>
      <x:c r="H689" s="93"/>
      <x:c r="I689" s="93"/>
      <x:c r="J689" s="93"/>
      <x:c r="K689" s="93"/>
    </x:row>
    <x:row r="690" s="92" customFormat="1" ht="7.900000095367432" customHeight="1">
      <x:c r="B690" s="93"/>
      <x:c r="C690" s="93"/>
      <x:c r="D690" s="93"/>
      <x:c r="E690" s="93"/>
      <x:c r="F690" s="93"/>
      <x:c r="G690" s="93"/>
      <x:c r="H690" s="93"/>
      <x:c r="I690" s="93"/>
      <x:c r="J690" s="93"/>
      <x:c r="K690" s="93"/>
    </x:row>
    <x:row r="691" s="92" customFormat="1" ht="7.900000095367432" customHeight="1">
      <x:c r="B691" s="93"/>
      <x:c r="C691" s="93"/>
      <x:c r="D691" s="93"/>
      <x:c r="E691" s="93"/>
      <x:c r="F691" s="93"/>
      <x:c r="G691" s="93"/>
      <x:c r="H691" s="93"/>
      <x:c r="I691" s="93"/>
      <x:c r="J691" s="93"/>
      <x:c r="K691" s="93"/>
    </x:row>
    <x:row r="692" s="92" customFormat="1" ht="7.900000095367432" customHeight="1">
      <x:c r="B692" s="93"/>
      <x:c r="C692" s="93"/>
      <x:c r="D692" s="93"/>
      <x:c r="E692" s="93"/>
      <x:c r="F692" s="93"/>
      <x:c r="G692" s="93"/>
      <x:c r="H692" s="93"/>
      <x:c r="I692" s="93"/>
      <x:c r="J692" s="93"/>
      <x:c r="K692" s="93"/>
    </x:row>
    <x:row r="693" s="92" customFormat="1" ht="7.900000095367432" customHeight="1">
      <x:c r="B693" s="93"/>
      <x:c r="C693" s="93"/>
      <x:c r="D693" s="93"/>
      <x:c r="E693" s="93"/>
      <x:c r="F693" s="93"/>
      <x:c r="G693" s="93"/>
      <x:c r="H693" s="93"/>
      <x:c r="I693" s="93"/>
      <x:c r="J693" s="93"/>
      <x:c r="K693" s="93"/>
    </x:row>
    <x:row r="694" s="92" customFormat="1" ht="7.900000095367432" customHeight="1">
      <x:c r="B694" s="93"/>
      <x:c r="C694" s="93"/>
      <x:c r="D694" s="93"/>
      <x:c r="E694" s="93"/>
      <x:c r="F694" s="93"/>
      <x:c r="G694" s="93"/>
      <x:c r="H694" s="93"/>
      <x:c r="I694" s="93"/>
      <x:c r="J694" s="93"/>
      <x:c r="K694" s="93"/>
    </x:row>
    <x:row r="695" s="92" customFormat="1" ht="7.900000095367432" customHeight="1">
      <x:c r="B695" s="93"/>
      <x:c r="C695" s="93"/>
      <x:c r="D695" s="93"/>
      <x:c r="E695" s="93"/>
      <x:c r="F695" s="93"/>
      <x:c r="G695" s="93"/>
      <x:c r="H695" s="93"/>
      <x:c r="I695" s="93"/>
      <x:c r="J695" s="93"/>
      <x:c r="K695" s="93"/>
    </x:row>
    <x:row r="696" s="92" customFormat="1" ht="7.900000095367432" customHeight="1">
      <x:c r="B696" s="93"/>
      <x:c r="C696" s="93"/>
      <x:c r="D696" s="93"/>
      <x:c r="E696" s="93"/>
      <x:c r="F696" s="93"/>
      <x:c r="G696" s="93"/>
      <x:c r="H696" s="93"/>
      <x:c r="I696" s="93"/>
      <x:c r="J696" s="93"/>
      <x:c r="K696" s="93"/>
    </x:row>
    <x:row r="697" s="92" customFormat="1" ht="7.900000095367432" customHeight="1">
      <x:c r="B697" s="93"/>
      <x:c r="C697" s="93"/>
      <x:c r="D697" s="93"/>
      <x:c r="E697" s="93"/>
      <x:c r="F697" s="93"/>
      <x:c r="G697" s="93"/>
      <x:c r="H697" s="93"/>
      <x:c r="I697" s="93"/>
      <x:c r="J697" s="93"/>
      <x:c r="K697" s="93"/>
    </x:row>
    <x:row r="698" s="92" customFormat="1" ht="7.900000095367432" customHeight="1">
      <x:c r="B698" s="93"/>
      <x:c r="C698" s="93"/>
      <x:c r="D698" s="93"/>
      <x:c r="E698" s="93"/>
      <x:c r="F698" s="93"/>
      <x:c r="G698" s="93"/>
      <x:c r="H698" s="93"/>
      <x:c r="I698" s="93"/>
      <x:c r="J698" s="93"/>
      <x:c r="K698" s="93"/>
    </x:row>
    <x:row r="699" s="92" customFormat="1" ht="7.900000095367432" customHeight="1">
      <x:c r="B699" s="93"/>
      <x:c r="C699" s="93"/>
      <x:c r="D699" s="93"/>
      <x:c r="E699" s="93"/>
      <x:c r="F699" s="93"/>
      <x:c r="G699" s="93"/>
      <x:c r="H699" s="93"/>
      <x:c r="I699" s="93"/>
      <x:c r="J699" s="93"/>
      <x:c r="K699" s="93"/>
    </x:row>
    <x:row r="700" s="92" customFormat="1" ht="7.900000095367432" customHeight="1">
      <x:c r="B700" s="93"/>
      <x:c r="C700" s="93"/>
      <x:c r="D700" s="93"/>
      <x:c r="E700" s="93"/>
      <x:c r="F700" s="93"/>
      <x:c r="G700" s="93"/>
      <x:c r="H700" s="93"/>
      <x:c r="I700" s="93"/>
      <x:c r="J700" s="93"/>
      <x:c r="K700" s="93"/>
    </x:row>
    <x:row r="701" s="92" customFormat="1" ht="7.900000095367432" customHeight="1">
      <x:c r="B701" s="93"/>
      <x:c r="C701" s="93"/>
      <x:c r="D701" s="93"/>
      <x:c r="E701" s="93"/>
      <x:c r="F701" s="93"/>
      <x:c r="G701" s="93"/>
      <x:c r="H701" s="93"/>
      <x:c r="I701" s="93"/>
      <x:c r="J701" s="93"/>
      <x:c r="K701" s="93"/>
    </x:row>
    <x:row r="702" s="92" customFormat="1" ht="7.900000095367432" customHeight="1">
      <x:c r="B702" s="93"/>
      <x:c r="C702" s="93"/>
      <x:c r="D702" s="93"/>
      <x:c r="E702" s="93"/>
      <x:c r="F702" s="93"/>
      <x:c r="G702" s="93"/>
      <x:c r="H702" s="93"/>
      <x:c r="I702" s="93"/>
      <x:c r="J702" s="93"/>
      <x:c r="K702" s="93"/>
    </x:row>
    <x:row r="703" s="92" customFormat="1" ht="7.900000095367432" customHeight="1">
      <x:c r="B703" s="93"/>
      <x:c r="C703" s="93"/>
      <x:c r="D703" s="93"/>
      <x:c r="E703" s="93"/>
      <x:c r="F703" s="93"/>
      <x:c r="G703" s="93"/>
      <x:c r="H703" s="93"/>
      <x:c r="I703" s="93"/>
      <x:c r="J703" s="93"/>
      <x:c r="K703" s="93"/>
    </x:row>
    <x:row r="704" s="92" customFormat="1" ht="7.900000095367432" customHeight="1">
      <x:c r="B704" s="93"/>
      <x:c r="C704" s="93"/>
      <x:c r="D704" s="93"/>
      <x:c r="E704" s="93"/>
      <x:c r="F704" s="93"/>
      <x:c r="G704" s="93"/>
      <x:c r="H704" s="93"/>
      <x:c r="I704" s="93"/>
      <x:c r="J704" s="93"/>
      <x:c r="K704" s="93"/>
    </x:row>
    <x:row r="705" s="92" customFormat="1" ht="7.900000095367432" customHeight="1">
      <x:c r="B705" s="93"/>
      <x:c r="C705" s="93"/>
      <x:c r="D705" s="93"/>
      <x:c r="E705" s="93"/>
      <x:c r="F705" s="93"/>
      <x:c r="G705" s="93"/>
      <x:c r="H705" s="93"/>
      <x:c r="I705" s="93"/>
      <x:c r="J705" s="93"/>
      <x:c r="K705" s="93"/>
    </x:row>
    <x:row r="706" s="92" customFormat="1" ht="7.900000095367432" customHeight="1">
      <x:c r="B706" s="93"/>
      <x:c r="C706" s="93"/>
      <x:c r="D706" s="93"/>
      <x:c r="E706" s="93"/>
      <x:c r="F706" s="93"/>
      <x:c r="G706" s="93"/>
      <x:c r="H706" s="93"/>
      <x:c r="I706" s="93"/>
      <x:c r="J706" s="93"/>
      <x:c r="K706" s="93"/>
    </x:row>
    <x:row r="707" s="92" customFormat="1" ht="7.900000095367432" customHeight="1">
      <x:c r="B707" s="93"/>
      <x:c r="C707" s="93"/>
      <x:c r="D707" s="93"/>
      <x:c r="E707" s="93"/>
      <x:c r="F707" s="93"/>
      <x:c r="G707" s="93"/>
      <x:c r="H707" s="93"/>
      <x:c r="I707" s="93"/>
      <x:c r="J707" s="93"/>
      <x:c r="K707" s="93"/>
    </x:row>
    <x:row r="708" s="92" customFormat="1" ht="7.900000095367432" customHeight="1">
      <x:c r="B708" s="93"/>
      <x:c r="C708" s="93"/>
      <x:c r="D708" s="93"/>
      <x:c r="E708" s="93"/>
      <x:c r="F708" s="93"/>
      <x:c r="G708" s="93"/>
      <x:c r="H708" s="93"/>
      <x:c r="I708" s="93"/>
      <x:c r="J708" s="93"/>
      <x:c r="K708" s="93"/>
    </x:row>
    <x:row r="709" s="92" customFormat="1" ht="7.900000095367432" customHeight="1">
      <x:c r="B709" s="93"/>
      <x:c r="C709" s="93"/>
      <x:c r="D709" s="93"/>
      <x:c r="E709" s="93"/>
      <x:c r="F709" s="93"/>
      <x:c r="G709" s="93"/>
      <x:c r="H709" s="93"/>
      <x:c r="I709" s="93"/>
      <x:c r="J709" s="93"/>
      <x:c r="K709" s="93"/>
    </x:row>
    <x:row r="710" s="92" customFormat="1" ht="7.900000095367432" customHeight="1">
      <x:c r="B710" s="93"/>
      <x:c r="C710" s="93"/>
      <x:c r="D710" s="93"/>
      <x:c r="E710" s="93"/>
      <x:c r="F710" s="93"/>
      <x:c r="G710" s="93"/>
      <x:c r="H710" s="93"/>
      <x:c r="I710" s="93"/>
      <x:c r="J710" s="93"/>
      <x:c r="K710" s="93"/>
    </x:row>
    <x:row r="711" s="92" customFormat="1" ht="7.900000095367432" customHeight="1">
      <x:c r="B711" s="93"/>
      <x:c r="C711" s="93"/>
      <x:c r="D711" s="93"/>
      <x:c r="E711" s="93"/>
      <x:c r="F711" s="93"/>
      <x:c r="G711" s="93"/>
      <x:c r="H711" s="93"/>
      <x:c r="I711" s="93"/>
      <x:c r="J711" s="93"/>
      <x:c r="K711" s="93"/>
    </x:row>
    <x:row r="712" s="92" customFormat="1" ht="7.900000095367432" customHeight="1">
      <x:c r="B712" s="93"/>
      <x:c r="C712" s="93"/>
      <x:c r="D712" s="93"/>
      <x:c r="E712" s="93"/>
      <x:c r="F712" s="93"/>
      <x:c r="G712" s="93"/>
      <x:c r="H712" s="93"/>
      <x:c r="I712" s="93"/>
      <x:c r="J712" s="93"/>
      <x:c r="K712" s="93"/>
    </x:row>
    <x:row r="713" s="92" customFormat="1" ht="7.900000095367432" customHeight="1">
      <x:c r="B713" s="93"/>
      <x:c r="C713" s="93"/>
      <x:c r="D713" s="93"/>
      <x:c r="E713" s="93"/>
      <x:c r="F713" s="93"/>
      <x:c r="G713" s="93"/>
      <x:c r="H713" s="93"/>
      <x:c r="I713" s="93"/>
      <x:c r="J713" s="93"/>
      <x:c r="K713" s="93"/>
    </x:row>
    <x:row r="714" s="92" customFormat="1" ht="7.900000095367432" customHeight="1">
      <x:c r="B714" s="93"/>
      <x:c r="C714" s="93"/>
      <x:c r="D714" s="93"/>
      <x:c r="E714" s="93"/>
      <x:c r="F714" s="93"/>
      <x:c r="G714" s="93"/>
      <x:c r="H714" s="93"/>
      <x:c r="I714" s="93"/>
      <x:c r="J714" s="93"/>
      <x:c r="K714" s="93"/>
    </x:row>
    <x:row r="715" s="92" customFormat="1" ht="7.900000095367432" customHeight="1">
      <x:c r="B715" s="93"/>
      <x:c r="C715" s="93"/>
      <x:c r="D715" s="93"/>
      <x:c r="E715" s="93"/>
      <x:c r="F715" s="93"/>
      <x:c r="G715" s="93"/>
      <x:c r="H715" s="93"/>
      <x:c r="I715" s="93"/>
      <x:c r="J715" s="93"/>
      <x:c r="K715" s="93"/>
    </x:row>
    <x:row r="716" s="92" customFormat="1" ht="7.900000095367432" customHeight="1">
      <x:c r="B716" s="93"/>
      <x:c r="C716" s="93"/>
      <x:c r="D716" s="93"/>
      <x:c r="E716" s="93"/>
      <x:c r="F716" s="93"/>
      <x:c r="G716" s="93"/>
      <x:c r="H716" s="93"/>
      <x:c r="I716" s="93"/>
      <x:c r="J716" s="93"/>
      <x:c r="K716" s="93"/>
    </x:row>
    <x:row r="717" s="92" customFormat="1" ht="7.900000095367432" customHeight="1">
      <x:c r="B717" s="93"/>
      <x:c r="C717" s="93"/>
      <x:c r="D717" s="93"/>
      <x:c r="E717" s="93"/>
      <x:c r="F717" s="93"/>
      <x:c r="G717" s="93"/>
      <x:c r="H717" s="93"/>
      <x:c r="I717" s="93"/>
      <x:c r="J717" s="93"/>
      <x:c r="K717" s="93"/>
    </x:row>
    <x:row r="718" s="92" customFormat="1" ht="7.900000095367432" customHeight="1">
      <x:c r="B718" s="93"/>
      <x:c r="C718" s="93"/>
      <x:c r="D718" s="93"/>
      <x:c r="E718" s="93"/>
      <x:c r="F718" s="93"/>
      <x:c r="G718" s="93"/>
      <x:c r="H718" s="93"/>
      <x:c r="I718" s="93"/>
      <x:c r="J718" s="93"/>
      <x:c r="K718" s="93"/>
    </x:row>
    <x:row r="719" s="92" customFormat="1" ht="7.900000095367432" customHeight="1">
      <x:c r="B719" s="93"/>
      <x:c r="C719" s="93"/>
      <x:c r="D719" s="93"/>
      <x:c r="E719" s="93"/>
      <x:c r="F719" s="93"/>
      <x:c r="G719" s="93"/>
      <x:c r="H719" s="93"/>
      <x:c r="I719" s="93"/>
      <x:c r="J719" s="93"/>
      <x:c r="K719" s="93"/>
    </x:row>
    <x:row r="720" s="92" customFormat="1" ht="7.900000095367432" customHeight="1">
      <x:c r="B720" s="93"/>
      <x:c r="C720" s="93"/>
      <x:c r="D720" s="93"/>
      <x:c r="E720" s="93"/>
      <x:c r="F720" s="93"/>
      <x:c r="G720" s="93"/>
      <x:c r="H720" s="93"/>
      <x:c r="I720" s="93"/>
      <x:c r="J720" s="93"/>
      <x:c r="K720" s="93"/>
    </x:row>
    <x:row r="721" s="92" customFormat="1" ht="7.900000095367432" customHeight="1">
      <x:c r="B721" s="93"/>
      <x:c r="C721" s="93"/>
      <x:c r="D721" s="93"/>
      <x:c r="E721" s="93"/>
      <x:c r="F721" s="93"/>
      <x:c r="G721" s="93"/>
      <x:c r="H721" s="93"/>
      <x:c r="I721" s="93"/>
      <x:c r="J721" s="93"/>
      <x:c r="K721" s="93"/>
    </x:row>
    <x:row r="722" s="92" customFormat="1" ht="7.900000095367432" customHeight="1">
      <x:c r="B722" s="93"/>
      <x:c r="C722" s="93"/>
      <x:c r="D722" s="93"/>
      <x:c r="E722" s="93"/>
      <x:c r="F722" s="93"/>
      <x:c r="G722" s="93"/>
      <x:c r="H722" s="93"/>
      <x:c r="I722" s="93"/>
      <x:c r="J722" s="93"/>
      <x:c r="K722" s="93"/>
    </x:row>
    <x:row r="723" s="92" customFormat="1" ht="7.900000095367432" customHeight="1">
      <x:c r="B723" s="93"/>
      <x:c r="C723" s="93"/>
      <x:c r="D723" s="93"/>
      <x:c r="E723" s="93"/>
      <x:c r="F723" s="93"/>
      <x:c r="G723" s="93"/>
      <x:c r="H723" s="93"/>
      <x:c r="I723" s="93"/>
      <x:c r="J723" s="93"/>
      <x:c r="K723" s="93"/>
    </x:row>
    <x:row r="724" s="92" customFormat="1" ht="7.900000095367432" customHeight="1">
      <x:c r="B724" s="93"/>
      <x:c r="C724" s="93"/>
      <x:c r="D724" s="93"/>
      <x:c r="E724" s="93"/>
      <x:c r="F724" s="93"/>
      <x:c r="G724" s="93"/>
      <x:c r="H724" s="93"/>
      <x:c r="I724" s="93"/>
      <x:c r="J724" s="93"/>
      <x:c r="K724" s="93"/>
    </x:row>
    <x:row r="725" s="92" customFormat="1" ht="7.900000095367432" customHeight="1">
      <x:c r="B725" s="93"/>
      <x:c r="C725" s="93"/>
      <x:c r="D725" s="93"/>
      <x:c r="E725" s="93"/>
      <x:c r="F725" s="93"/>
      <x:c r="G725" s="93"/>
      <x:c r="H725" s="93"/>
      <x:c r="I725" s="93"/>
      <x:c r="J725" s="93"/>
      <x:c r="K725" s="93"/>
    </x:row>
    <x:row r="726" s="92" customFormat="1" ht="7.900000095367432" customHeight="1">
      <x:c r="B726" s="93"/>
      <x:c r="C726" s="93"/>
      <x:c r="D726" s="93"/>
      <x:c r="E726" s="93"/>
      <x:c r="F726" s="93"/>
      <x:c r="G726" s="93"/>
      <x:c r="H726" s="93"/>
      <x:c r="I726" s="93"/>
      <x:c r="J726" s="93"/>
      <x:c r="K726" s="93"/>
    </x:row>
    <x:row r="727" s="92" customFormat="1" ht="7.900000095367432" customHeight="1">
      <x:c r="B727" s="93"/>
      <x:c r="C727" s="93"/>
      <x:c r="D727" s="93"/>
      <x:c r="E727" s="93"/>
      <x:c r="F727" s="93"/>
      <x:c r="G727" s="93"/>
      <x:c r="H727" s="93"/>
      <x:c r="I727" s="93"/>
      <x:c r="J727" s="93"/>
      <x:c r="K727" s="93"/>
    </x:row>
    <x:row r="728" s="92" customFormat="1" ht="7.900000095367432" customHeight="1">
      <x:c r="B728" s="93"/>
      <x:c r="C728" s="93"/>
      <x:c r="D728" s="93"/>
      <x:c r="E728" s="93"/>
      <x:c r="F728" s="93"/>
      <x:c r="G728" s="93"/>
      <x:c r="H728" s="93"/>
      <x:c r="I728" s="93"/>
      <x:c r="J728" s="93"/>
      <x:c r="K728" s="93"/>
    </x:row>
    <x:row r="729" s="92" customFormat="1" ht="7.900000095367432" customHeight="1">
      <x:c r="B729" s="93"/>
      <x:c r="C729" s="93"/>
      <x:c r="D729" s="93"/>
      <x:c r="E729" s="93"/>
      <x:c r="F729" s="93"/>
      <x:c r="G729" s="93"/>
      <x:c r="H729" s="93"/>
      <x:c r="I729" s="93"/>
      <x:c r="J729" s="93"/>
      <x:c r="K729" s="93"/>
    </x:row>
    <x:row r="730" s="92" customFormat="1" ht="7.900000095367432" customHeight="1">
      <x:c r="B730" s="93"/>
      <x:c r="C730" s="93"/>
      <x:c r="D730" s="93"/>
      <x:c r="E730" s="93"/>
      <x:c r="F730" s="93"/>
      <x:c r="G730" s="93"/>
      <x:c r="H730" s="93"/>
      <x:c r="I730" s="93"/>
      <x:c r="J730" s="93"/>
      <x:c r="K730" s="93"/>
    </x:row>
    <x:row r="731" s="92" customFormat="1" ht="7.900000095367432" customHeight="1">
      <x:c r="B731" s="93"/>
      <x:c r="C731" s="93"/>
      <x:c r="D731" s="93"/>
      <x:c r="E731" s="93"/>
      <x:c r="F731" s="93"/>
      <x:c r="G731" s="93"/>
      <x:c r="H731" s="93"/>
      <x:c r="I731" s="93"/>
      <x:c r="J731" s="93"/>
      <x:c r="K731" s="93"/>
    </x:row>
    <x:row r="732" s="92" customFormat="1" ht="7.900000095367432" customHeight="1">
      <x:c r="B732" s="93"/>
      <x:c r="C732" s="93"/>
      <x:c r="D732" s="93"/>
      <x:c r="E732" s="93"/>
      <x:c r="F732" s="93"/>
      <x:c r="G732" s="93"/>
      <x:c r="H732" s="93"/>
      <x:c r="I732" s="93"/>
      <x:c r="J732" s="93"/>
      <x:c r="K732" s="93"/>
    </x:row>
    <x:row r="733" s="92" customFormat="1" ht="7.900000095367432" customHeight="1">
      <x:c r="B733" s="93"/>
      <x:c r="C733" s="93"/>
      <x:c r="D733" s="93"/>
      <x:c r="E733" s="93"/>
      <x:c r="F733" s="93"/>
      <x:c r="G733" s="93"/>
      <x:c r="H733" s="93"/>
      <x:c r="I733" s="93"/>
      <x:c r="J733" s="93"/>
      <x:c r="K733" s="93"/>
    </x:row>
    <x:row r="734" s="92" customFormat="1" ht="7.900000095367432" customHeight="1">
      <x:c r="B734" s="93"/>
      <x:c r="C734" s="93"/>
      <x:c r="D734" s="93"/>
      <x:c r="E734" s="93"/>
      <x:c r="F734" s="93"/>
      <x:c r="G734" s="93"/>
      <x:c r="H734" s="93"/>
      <x:c r="I734" s="93"/>
      <x:c r="J734" s="93"/>
      <x:c r="K734" s="93"/>
    </x:row>
    <x:row r="735" s="92" customFormat="1" ht="7.900000095367432" customHeight="1">
      <x:c r="B735" s="93"/>
      <x:c r="C735" s="93"/>
      <x:c r="D735" s="93"/>
      <x:c r="E735" s="93"/>
      <x:c r="F735" s="93"/>
      <x:c r="G735" s="93"/>
      <x:c r="H735" s="93"/>
      <x:c r="I735" s="93"/>
      <x:c r="J735" s="93"/>
      <x:c r="K735" s="93"/>
    </x:row>
    <x:row r="736" s="92" customFormat="1" ht="7.900000095367432" customHeight="1">
      <x:c r="B736" s="93"/>
      <x:c r="C736" s="93"/>
      <x:c r="D736" s="93"/>
      <x:c r="E736" s="93"/>
      <x:c r="F736" s="93"/>
      <x:c r="G736" s="93"/>
      <x:c r="H736" s="93"/>
      <x:c r="I736" s="93"/>
      <x:c r="J736" s="93"/>
      <x:c r="K736" s="93"/>
    </x:row>
    <x:row r="737" s="92" customFormat="1" ht="7.900000095367432" customHeight="1">
      <x:c r="B737" s="93"/>
      <x:c r="C737" s="93"/>
      <x:c r="D737" s="93"/>
      <x:c r="E737" s="93"/>
      <x:c r="F737" s="93"/>
      <x:c r="G737" s="93"/>
      <x:c r="H737" s="93"/>
      <x:c r="I737" s="93"/>
      <x:c r="J737" s="93"/>
      <x:c r="K737" s="93"/>
    </x:row>
    <x:row r="738" s="92" customFormat="1" ht="7.900000095367432" customHeight="1">
      <x:c r="B738" s="93"/>
      <x:c r="C738" s="93"/>
      <x:c r="D738" s="93"/>
      <x:c r="E738" s="93"/>
      <x:c r="F738" s="93"/>
      <x:c r="G738" s="93"/>
      <x:c r="H738" s="93"/>
      <x:c r="I738" s="93"/>
      <x:c r="J738" s="93"/>
      <x:c r="K738" s="93"/>
    </x:row>
    <x:row r="739" s="92" customFormat="1" ht="7.900000095367432" customHeight="1">
      <x:c r="B739" s="93"/>
      <x:c r="C739" s="93"/>
      <x:c r="D739" s="93"/>
      <x:c r="E739" s="93"/>
      <x:c r="F739" s="93"/>
      <x:c r="G739" s="93"/>
      <x:c r="H739" s="93"/>
      <x:c r="I739" s="93"/>
      <x:c r="J739" s="93"/>
      <x:c r="K739" s="93"/>
    </x:row>
    <x:row r="740" s="92" customFormat="1" ht="7.900000095367432" customHeight="1">
      <x:c r="B740" s="93"/>
      <x:c r="C740" s="93"/>
      <x:c r="D740" s="93"/>
      <x:c r="E740" s="93"/>
      <x:c r="F740" s="93"/>
      <x:c r="G740" s="93"/>
      <x:c r="H740" s="93"/>
      <x:c r="I740" s="93"/>
      <x:c r="J740" s="93"/>
      <x:c r="K740" s="93"/>
    </x:row>
    <x:row r="741" s="92" customFormat="1" ht="7.900000095367432" customHeight="1">
      <x:c r="B741" s="93"/>
      <x:c r="C741" s="93"/>
      <x:c r="D741" s="93"/>
      <x:c r="E741" s="93"/>
      <x:c r="F741" s="93"/>
      <x:c r="G741" s="93"/>
      <x:c r="H741" s="93"/>
      <x:c r="I741" s="93"/>
      <x:c r="J741" s="93"/>
      <x:c r="K741" s="93"/>
    </x:row>
    <x:row r="742" s="92" customFormat="1" ht="7.900000095367432" customHeight="1">
      <x:c r="B742" s="93"/>
      <x:c r="C742" s="93"/>
      <x:c r="D742" s="93"/>
      <x:c r="E742" s="93"/>
      <x:c r="F742" s="93"/>
      <x:c r="G742" s="93"/>
      <x:c r="H742" s="93"/>
      <x:c r="I742" s="93"/>
      <x:c r="J742" s="93"/>
      <x:c r="K742" s="93"/>
    </x:row>
    <x:row r="743" s="92" customFormat="1" ht="7.900000095367432" customHeight="1">
      <x:c r="B743" s="93"/>
      <x:c r="C743" s="93"/>
      <x:c r="D743" s="93"/>
      <x:c r="E743" s="93"/>
      <x:c r="F743" s="93"/>
      <x:c r="G743" s="93"/>
      <x:c r="H743" s="93"/>
      <x:c r="I743" s="93"/>
      <x:c r="J743" s="93"/>
      <x:c r="K743" s="93"/>
    </x:row>
    <x:row r="744" s="92" customFormat="1" ht="7.900000095367432" customHeight="1">
      <x:c r="B744" s="93"/>
      <x:c r="C744" s="93"/>
      <x:c r="D744" s="93"/>
      <x:c r="E744" s="93"/>
      <x:c r="F744" s="93"/>
      <x:c r="G744" s="93"/>
      <x:c r="H744" s="93"/>
      <x:c r="I744" s="93"/>
      <x:c r="J744" s="93"/>
      <x:c r="K744" s="93"/>
    </x:row>
    <x:row r="745" s="92" customFormat="1" ht="7.900000095367432" customHeight="1">
      <x:c r="B745" s="93"/>
      <x:c r="C745" s="93"/>
      <x:c r="D745" s="93"/>
      <x:c r="E745" s="93"/>
      <x:c r="F745" s="93"/>
      <x:c r="G745" s="93"/>
      <x:c r="H745" s="93"/>
      <x:c r="I745" s="93"/>
      <x:c r="J745" s="93"/>
      <x:c r="K745" s="93"/>
    </x:row>
    <x:row r="746" s="92" customFormat="1" ht="7.900000095367432" customHeight="1">
      <x:c r="B746" s="93"/>
      <x:c r="C746" s="93"/>
      <x:c r="D746" s="93"/>
      <x:c r="E746" s="93"/>
      <x:c r="F746" s="93"/>
      <x:c r="G746" s="93"/>
      <x:c r="H746" s="93"/>
      <x:c r="I746" s="93"/>
      <x:c r="J746" s="93"/>
      <x:c r="K746" s="93"/>
    </x:row>
    <x:row r="747" s="92" customFormat="1" ht="7.900000095367432" customHeight="1">
      <x:c r="B747" s="93"/>
      <x:c r="C747" s="93"/>
      <x:c r="D747" s="93"/>
      <x:c r="E747" s="93"/>
      <x:c r="F747" s="93"/>
      <x:c r="G747" s="93"/>
      <x:c r="H747" s="93"/>
      <x:c r="I747" s="93"/>
      <x:c r="J747" s="93"/>
      <x:c r="K747" s="93"/>
    </x:row>
    <x:row r="748" s="92" customFormat="1" ht="7.900000095367432" customHeight="1">
      <x:c r="B748" s="93"/>
      <x:c r="C748" s="93"/>
      <x:c r="D748" s="93"/>
      <x:c r="E748" s="93"/>
      <x:c r="F748" s="93"/>
      <x:c r="G748" s="93"/>
      <x:c r="H748" s="93"/>
      <x:c r="I748" s="93"/>
      <x:c r="J748" s="93"/>
      <x:c r="K748" s="93"/>
    </x:row>
    <x:row r="749" s="92" customFormat="1" ht="7.900000095367432" customHeight="1">
      <x:c r="B749" s="93"/>
      <x:c r="C749" s="93"/>
      <x:c r="D749" s="93"/>
      <x:c r="E749" s="93"/>
      <x:c r="F749" s="93"/>
      <x:c r="G749" s="93"/>
      <x:c r="H749" s="93"/>
      <x:c r="I749" s="93"/>
      <x:c r="J749" s="93"/>
      <x:c r="K749" s="93"/>
    </x:row>
    <x:row r="750" s="92" customFormat="1" ht="7.900000095367432" customHeight="1">
      <x:c r="B750" s="93"/>
      <x:c r="C750" s="93"/>
      <x:c r="D750" s="93"/>
      <x:c r="E750" s="93"/>
      <x:c r="F750" s="93"/>
      <x:c r="G750" s="93"/>
      <x:c r="H750" s="93"/>
      <x:c r="I750" s="93"/>
      <x:c r="J750" s="93"/>
      <x:c r="K750" s="93"/>
    </x:row>
    <x:row r="751" s="92" customFormat="1" ht="7.900000095367432" customHeight="1">
      <x:c r="B751" s="93"/>
      <x:c r="C751" s="93"/>
      <x:c r="D751" s="93"/>
      <x:c r="E751" s="93"/>
      <x:c r="F751" s="93"/>
      <x:c r="G751" s="93"/>
      <x:c r="H751" s="93"/>
      <x:c r="I751" s="93"/>
      <x:c r="J751" s="93"/>
      <x:c r="K751" s="93"/>
    </x:row>
    <x:row r="752" s="92" customFormat="1" ht="7.900000095367432" customHeight="1">
      <x:c r="B752" s="93"/>
      <x:c r="C752" s="93"/>
      <x:c r="D752" s="93"/>
      <x:c r="E752" s="93"/>
      <x:c r="F752" s="93"/>
      <x:c r="G752" s="93"/>
      <x:c r="H752" s="93"/>
      <x:c r="I752" s="93"/>
      <x:c r="J752" s="93"/>
      <x:c r="K752" s="93"/>
    </x:row>
    <x:row r="753" s="92" customFormat="1" ht="7.900000095367432" customHeight="1">
      <x:c r="B753" s="93"/>
      <x:c r="C753" s="93"/>
      <x:c r="D753" s="93"/>
      <x:c r="E753" s="93"/>
      <x:c r="F753" s="93"/>
      <x:c r="G753" s="93"/>
      <x:c r="H753" s="93"/>
      <x:c r="I753" s="93"/>
      <x:c r="J753" s="93"/>
      <x:c r="K753" s="93"/>
    </x:row>
    <x:row r="754" s="92" customFormat="1" ht="7.900000095367432" customHeight="1">
      <x:c r="B754" s="93"/>
      <x:c r="C754" s="93"/>
      <x:c r="D754" s="93"/>
      <x:c r="E754" s="93"/>
      <x:c r="F754" s="93"/>
      <x:c r="G754" s="93"/>
      <x:c r="H754" s="93"/>
      <x:c r="I754" s="93"/>
      <x:c r="J754" s="93"/>
      <x:c r="K754" s="93"/>
    </x:row>
    <x:row r="755" s="92" customFormat="1" ht="7.900000095367432" customHeight="1">
      <x:c r="B755" s="93"/>
      <x:c r="C755" s="93"/>
      <x:c r="D755" s="93"/>
      <x:c r="E755" s="93"/>
      <x:c r="F755" s="93"/>
      <x:c r="G755" s="93"/>
      <x:c r="H755" s="93"/>
      <x:c r="I755" s="93"/>
      <x:c r="J755" s="93"/>
      <x:c r="K755" s="93"/>
    </x:row>
    <x:row r="756" s="92" customFormat="1" ht="7.900000095367432" customHeight="1">
      <x:c r="B756" s="93"/>
      <x:c r="C756" s="93"/>
      <x:c r="D756" s="93"/>
      <x:c r="E756" s="93"/>
      <x:c r="F756" s="93"/>
      <x:c r="G756" s="93"/>
      <x:c r="H756" s="93"/>
      <x:c r="I756" s="93"/>
      <x:c r="J756" s="93"/>
      <x:c r="K756" s="93"/>
    </x:row>
    <x:row r="757" s="92" customFormat="1" ht="7.900000095367432" customHeight="1">
      <x:c r="B757" s="93"/>
      <x:c r="C757" s="93"/>
      <x:c r="D757" s="93"/>
      <x:c r="E757" s="93"/>
      <x:c r="F757" s="93"/>
      <x:c r="G757" s="93"/>
      <x:c r="H757" s="93"/>
      <x:c r="I757" s="93"/>
      <x:c r="J757" s="93"/>
      <x:c r="K757" s="93"/>
    </x:row>
    <x:row r="758" s="92" customFormat="1" ht="7.900000095367432" customHeight="1">
      <x:c r="B758" s="93"/>
      <x:c r="C758" s="93"/>
      <x:c r="D758" s="93"/>
      <x:c r="E758" s="93"/>
      <x:c r="F758" s="93"/>
      <x:c r="G758" s="93"/>
      <x:c r="H758" s="93"/>
      <x:c r="I758" s="93"/>
      <x:c r="J758" s="93"/>
      <x:c r="K758" s="93"/>
    </x:row>
    <x:row r="759" s="92" customFormat="1" ht="7.900000095367432" customHeight="1">
      <x:c r="B759" s="93"/>
      <x:c r="C759" s="93"/>
      <x:c r="D759" s="93"/>
      <x:c r="E759" s="93"/>
      <x:c r="F759" s="93"/>
      <x:c r="G759" s="93"/>
      <x:c r="H759" s="93"/>
      <x:c r="I759" s="93"/>
      <x:c r="J759" s="93"/>
      <x:c r="K759" s="93"/>
    </x:row>
    <x:row r="760" s="92" customFormat="1" ht="7.900000095367432" customHeight="1">
      <x:c r="B760" s="93"/>
      <x:c r="C760" s="93"/>
      <x:c r="D760" s="93"/>
      <x:c r="E760" s="93"/>
      <x:c r="F760" s="93"/>
      <x:c r="G760" s="93"/>
      <x:c r="H760" s="93"/>
      <x:c r="I760" s="93"/>
      <x:c r="J760" s="93"/>
      <x:c r="K760" s="93"/>
    </x:row>
    <x:row r="761" s="92" customFormat="1" ht="7.900000095367432" customHeight="1">
      <x:c r="B761" s="93"/>
      <x:c r="C761" s="93"/>
      <x:c r="D761" s="93"/>
      <x:c r="E761" s="93"/>
      <x:c r="F761" s="93"/>
      <x:c r="G761" s="93"/>
      <x:c r="H761" s="93"/>
      <x:c r="I761" s="93"/>
      <x:c r="J761" s="93"/>
      <x:c r="K761" s="93"/>
    </x:row>
    <x:row r="762" s="92" customFormat="1" ht="7.900000095367432" customHeight="1">
      <x:c r="B762" s="93"/>
      <x:c r="C762" s="93"/>
      <x:c r="D762" s="93"/>
      <x:c r="E762" s="93"/>
      <x:c r="F762" s="93"/>
      <x:c r="G762" s="93"/>
      <x:c r="H762" s="93"/>
      <x:c r="I762" s="93"/>
      <x:c r="J762" s="93"/>
      <x:c r="K762" s="93"/>
    </x:row>
    <x:row r="763" s="92" customFormat="1" ht="7.900000095367432" customHeight="1">
      <x:c r="B763" s="93"/>
      <x:c r="C763" s="93"/>
      <x:c r="D763" s="93"/>
      <x:c r="E763" s="93"/>
      <x:c r="F763" s="93"/>
      <x:c r="G763" s="93"/>
      <x:c r="H763" s="93"/>
      <x:c r="I763" s="93"/>
      <x:c r="J763" s="93"/>
      <x:c r="K763" s="93"/>
    </x:row>
    <x:row r="764" s="92" customFormat="1" ht="7.900000095367432" customHeight="1">
      <x:c r="B764" s="93"/>
      <x:c r="C764" s="93"/>
      <x:c r="D764" s="93"/>
      <x:c r="E764" s="93"/>
      <x:c r="F764" s="93"/>
      <x:c r="G764" s="93"/>
      <x:c r="H764" s="93"/>
      <x:c r="I764" s="93"/>
      <x:c r="J764" s="93"/>
      <x:c r="K764" s="93"/>
    </x:row>
    <x:row r="765" s="92" customFormat="1" ht="7.900000095367432" customHeight="1">
      <x:c r="B765" s="93"/>
      <x:c r="C765" s="93"/>
      <x:c r="D765" s="93"/>
      <x:c r="E765" s="93"/>
      <x:c r="F765" s="93"/>
      <x:c r="G765" s="93"/>
      <x:c r="H765" s="93"/>
      <x:c r="I765" s="93"/>
      <x:c r="J765" s="93"/>
      <x:c r="K765" s="93"/>
    </x:row>
    <x:row r="766" s="92" customFormat="1" ht="7.900000095367432" customHeight="1">
      <x:c r="B766" s="93"/>
      <x:c r="C766" s="93"/>
      <x:c r="D766" s="93"/>
      <x:c r="E766" s="93"/>
      <x:c r="F766" s="93"/>
      <x:c r="G766" s="93"/>
      <x:c r="H766" s="93"/>
      <x:c r="I766" s="93"/>
      <x:c r="J766" s="93"/>
      <x:c r="K766" s="93"/>
    </x:row>
    <x:row r="767" s="92" customFormat="1" ht="7.900000095367432" customHeight="1">
      <x:c r="B767" s="93"/>
      <x:c r="C767" s="93"/>
      <x:c r="D767" s="93"/>
      <x:c r="E767" s="93"/>
      <x:c r="F767" s="93"/>
      <x:c r="G767" s="93"/>
      <x:c r="H767" s="93"/>
      <x:c r="I767" s="93"/>
      <x:c r="J767" s="93"/>
      <x:c r="K767" s="93"/>
    </x:row>
    <x:row r="768" s="92" customFormat="1" ht="7.900000095367432" customHeight="1">
      <x:c r="B768" s="93"/>
      <x:c r="C768" s="93"/>
      <x:c r="D768" s="93"/>
      <x:c r="E768" s="93"/>
      <x:c r="F768" s="93"/>
      <x:c r="G768" s="93"/>
      <x:c r="H768" s="93"/>
      <x:c r="I768" s="93"/>
      <x:c r="J768" s="93"/>
      <x:c r="K768" s="93"/>
    </x:row>
    <x:row r="769" s="92" customFormat="1" ht="7.900000095367432" customHeight="1">
      <x:c r="B769" s="93"/>
      <x:c r="C769" s="93"/>
      <x:c r="D769" s="93"/>
      <x:c r="E769" s="93"/>
      <x:c r="F769" s="93"/>
      <x:c r="G769" s="93"/>
      <x:c r="H769" s="93"/>
      <x:c r="I769" s="93"/>
      <x:c r="J769" s="93"/>
      <x:c r="K769" s="93"/>
    </x:row>
    <x:row r="770" s="92" customFormat="1" ht="7.900000095367432" customHeight="1">
      <x:c r="B770" s="93"/>
      <x:c r="C770" s="93"/>
      <x:c r="D770" s="93"/>
      <x:c r="E770" s="93"/>
      <x:c r="F770" s="93"/>
      <x:c r="G770" s="93"/>
      <x:c r="H770" s="93"/>
      <x:c r="I770" s="93"/>
      <x:c r="J770" s="93"/>
      <x:c r="K770" s="93"/>
    </x:row>
    <x:row r="771" s="92" customFormat="1" ht="7.900000095367432" customHeight="1">
      <x:c r="B771" s="93"/>
      <x:c r="C771" s="93"/>
      <x:c r="D771" s="93"/>
      <x:c r="E771" s="93"/>
      <x:c r="F771" s="93"/>
      <x:c r="G771" s="93"/>
      <x:c r="H771" s="93"/>
      <x:c r="I771" s="93"/>
      <x:c r="J771" s="93"/>
      <x:c r="K771" s="93"/>
    </x:row>
    <x:row r="772" s="92" customFormat="1" ht="7.900000095367432" customHeight="1">
      <x:c r="B772" s="93"/>
      <x:c r="C772" s="93"/>
      <x:c r="D772" s="93"/>
      <x:c r="E772" s="93"/>
      <x:c r="F772" s="93"/>
      <x:c r="G772" s="93"/>
      <x:c r="H772" s="93"/>
      <x:c r="I772" s="93"/>
      <x:c r="J772" s="93"/>
      <x:c r="K772" s="93"/>
    </x:row>
    <x:row r="773" s="92" customFormat="1" ht="7.900000095367432" customHeight="1">
      <x:c r="B773" s="93"/>
      <x:c r="C773" s="93"/>
      <x:c r="D773" s="93"/>
      <x:c r="E773" s="93"/>
      <x:c r="F773" s="93"/>
      <x:c r="G773" s="93"/>
      <x:c r="H773" s="93"/>
      <x:c r="I773" s="93"/>
      <x:c r="J773" s="93"/>
      <x:c r="K773" s="93"/>
    </x:row>
    <x:row r="774" s="92" customFormat="1" ht="7.900000095367432" customHeight="1">
      <x:c r="B774" s="93"/>
      <x:c r="C774" s="93"/>
      <x:c r="D774" s="93"/>
      <x:c r="E774" s="93"/>
      <x:c r="F774" s="93"/>
      <x:c r="G774" s="93"/>
      <x:c r="H774" s="93"/>
      <x:c r="I774" s="93"/>
      <x:c r="J774" s="93"/>
      <x:c r="K774" s="93"/>
    </x:row>
    <x:row r="775" s="92" customFormat="1" ht="7.900000095367432" customHeight="1">
      <x:c r="B775" s="93"/>
      <x:c r="C775" s="93"/>
      <x:c r="D775" s="93"/>
      <x:c r="E775" s="93"/>
      <x:c r="F775" s="93"/>
      <x:c r="G775" s="93"/>
      <x:c r="H775" s="93"/>
      <x:c r="I775" s="93"/>
      <x:c r="J775" s="93"/>
      <x:c r="K775" s="93"/>
    </x:row>
    <x:row r="776" s="92" customFormat="1" ht="7.900000095367432" customHeight="1">
      <x:c r="B776" s="93"/>
      <x:c r="C776" s="93"/>
      <x:c r="D776" s="93"/>
      <x:c r="E776" s="93"/>
      <x:c r="F776" s="93"/>
      <x:c r="G776" s="93"/>
      <x:c r="H776" s="93"/>
      <x:c r="I776" s="93"/>
      <x:c r="J776" s="93"/>
      <x:c r="K776" s="93"/>
    </x:row>
    <x:row r="777" s="92" customFormat="1" ht="7.900000095367432" customHeight="1">
      <x:c r="B777" s="93"/>
      <x:c r="C777" s="93"/>
      <x:c r="D777" s="93"/>
      <x:c r="E777" s="93"/>
      <x:c r="F777" s="93"/>
      <x:c r="G777" s="93"/>
      <x:c r="H777" s="93"/>
      <x:c r="I777" s="93"/>
      <x:c r="J777" s="93"/>
      <x:c r="K777" s="93"/>
    </x:row>
    <x:row r="778" s="92" customFormat="1" ht="7.900000095367432" customHeight="1">
      <x:c r="B778" s="93"/>
      <x:c r="C778" s="93"/>
      <x:c r="D778" s="93"/>
      <x:c r="E778" s="93"/>
      <x:c r="F778" s="93"/>
      <x:c r="G778" s="93"/>
      <x:c r="H778" s="93"/>
      <x:c r="I778" s="93"/>
      <x:c r="J778" s="93"/>
      <x:c r="K778" s="93"/>
    </x:row>
    <x:row r="779" s="92" customFormat="1" ht="7.900000095367432" customHeight="1">
      <x:c r="B779" s="93"/>
      <x:c r="C779" s="93"/>
      <x:c r="D779" s="93"/>
      <x:c r="E779" s="93"/>
      <x:c r="F779" s="93"/>
      <x:c r="G779" s="93"/>
      <x:c r="H779" s="93"/>
      <x:c r="I779" s="93"/>
      <x:c r="J779" s="93"/>
      <x:c r="K779" s="93"/>
    </x:row>
    <x:row r="780" s="92" customFormat="1" ht="7.900000095367432" customHeight="1">
      <x:c r="B780" s="93"/>
      <x:c r="C780" s="93"/>
      <x:c r="D780" s="93"/>
      <x:c r="E780" s="93"/>
      <x:c r="F780" s="93"/>
      <x:c r="G780" s="93"/>
      <x:c r="H780" s="93"/>
      <x:c r="I780" s="93"/>
      <x:c r="J780" s="93"/>
      <x:c r="K780" s="93"/>
    </x:row>
    <x:row r="781" s="92" customFormat="1" ht="7.900000095367432" customHeight="1">
      <x:c r="B781" s="93"/>
      <x:c r="C781" s="93"/>
      <x:c r="D781" s="93"/>
      <x:c r="E781" s="93"/>
      <x:c r="F781" s="93"/>
      <x:c r="G781" s="93"/>
      <x:c r="H781" s="93"/>
      <x:c r="I781" s="93"/>
      <x:c r="J781" s="93"/>
      <x:c r="K781" s="93"/>
    </x:row>
    <x:row r="782" s="92" customFormat="1" ht="7.900000095367432" customHeight="1">
      <x:c r="B782" s="93"/>
      <x:c r="C782" s="93"/>
      <x:c r="D782" s="93"/>
      <x:c r="E782" s="93"/>
      <x:c r="F782" s="93"/>
      <x:c r="G782" s="93"/>
      <x:c r="H782" s="93"/>
      <x:c r="I782" s="93"/>
      <x:c r="J782" s="93"/>
      <x:c r="K782" s="93"/>
    </x:row>
    <x:row r="783" s="92" customFormat="1" ht="7.900000095367432" customHeight="1">
      <x:c r="B783" s="93"/>
      <x:c r="C783" s="93"/>
      <x:c r="D783" s="93"/>
      <x:c r="E783" s="93"/>
      <x:c r="F783" s="93"/>
      <x:c r="G783" s="93"/>
      <x:c r="H783" s="93"/>
      <x:c r="I783" s="93"/>
      <x:c r="J783" s="93"/>
      <x:c r="K783" s="93"/>
    </x:row>
    <x:row r="784" s="92" customFormat="1" ht="7.900000095367432" customHeight="1">
      <x:c r="B784" s="93"/>
      <x:c r="C784" s="93"/>
      <x:c r="D784" s="93"/>
      <x:c r="E784" s="93"/>
      <x:c r="F784" s="93"/>
      <x:c r="G784" s="93"/>
      <x:c r="H784" s="93"/>
      <x:c r="I784" s="93"/>
      <x:c r="J784" s="93"/>
      <x:c r="K784" s="93"/>
    </x:row>
    <x:row r="785" s="92" customFormat="1" ht="7.900000095367432" customHeight="1">
      <x:c r="B785" s="93"/>
      <x:c r="C785" s="93"/>
      <x:c r="D785" s="93"/>
      <x:c r="E785" s="93"/>
      <x:c r="F785" s="93"/>
      <x:c r="G785" s="93"/>
      <x:c r="H785" s="93"/>
      <x:c r="I785" s="93"/>
      <x:c r="J785" s="93"/>
      <x:c r="K785" s="93"/>
    </x:row>
    <x:row r="786" s="92" customFormat="1" ht="7.900000095367432" customHeight="1">
      <x:c r="B786" s="93"/>
      <x:c r="C786" s="93"/>
      <x:c r="D786" s="93"/>
      <x:c r="E786" s="93"/>
      <x:c r="F786" s="93"/>
      <x:c r="G786" s="93"/>
      <x:c r="H786" s="93"/>
      <x:c r="I786" s="93"/>
      <x:c r="J786" s="93"/>
      <x:c r="K786" s="93"/>
    </x:row>
    <x:row r="787" s="92" customFormat="1" ht="7.900000095367432" customHeight="1">
      <x:c r="B787" s="93"/>
      <x:c r="C787" s="93"/>
      <x:c r="D787" s="93"/>
      <x:c r="E787" s="93"/>
      <x:c r="F787" s="93"/>
      <x:c r="G787" s="93"/>
      <x:c r="H787" s="93"/>
      <x:c r="I787" s="93"/>
      <x:c r="J787" s="93"/>
      <x:c r="K787" s="93"/>
    </x:row>
    <x:row r="788" s="92" customFormat="1" ht="7.900000095367432" customHeight="1">
      <x:c r="B788" s="93"/>
      <x:c r="C788" s="93"/>
      <x:c r="D788" s="93"/>
      <x:c r="E788" s="93"/>
      <x:c r="F788" s="93"/>
      <x:c r="G788" s="93"/>
      <x:c r="H788" s="93"/>
      <x:c r="I788" s="93"/>
      <x:c r="J788" s="93"/>
      <x:c r="K788" s="93"/>
    </x:row>
    <x:row r="789" s="92" customFormat="1" ht="7.900000095367432" customHeight="1">
      <x:c r="B789" s="93"/>
      <x:c r="C789" s="93"/>
      <x:c r="D789" s="93"/>
      <x:c r="E789" s="93"/>
      <x:c r="F789" s="93"/>
      <x:c r="G789" s="93"/>
      <x:c r="H789" s="93"/>
      <x:c r="I789" s="93"/>
      <x:c r="J789" s="93"/>
      <x:c r="K789" s="93"/>
    </x:row>
    <x:row r="790" s="92" customFormat="1" ht="7.900000095367432" customHeight="1">
      <x:c r="B790" s="93"/>
      <x:c r="C790" s="93"/>
      <x:c r="D790" s="93"/>
      <x:c r="E790" s="93"/>
      <x:c r="F790" s="93"/>
      <x:c r="G790" s="93"/>
      <x:c r="H790" s="93"/>
      <x:c r="I790" s="93"/>
      <x:c r="J790" s="93"/>
      <x:c r="K790" s="93"/>
    </x:row>
    <x:row r="791" s="92" customFormat="1" ht="7.900000095367432" customHeight="1">
      <x:c r="B791" s="93"/>
      <x:c r="C791" s="93"/>
      <x:c r="D791" s="93"/>
      <x:c r="E791" s="93"/>
      <x:c r="F791" s="93"/>
      <x:c r="G791" s="93"/>
      <x:c r="H791" s="93"/>
      <x:c r="I791" s="93"/>
      <x:c r="J791" s="93"/>
      <x:c r="K791" s="93"/>
    </x:row>
    <x:row r="792" s="92" customFormat="1" ht="7.900000095367432" customHeight="1">
      <x:c r="B792" s="93"/>
      <x:c r="C792" s="93"/>
      <x:c r="D792" s="93"/>
      <x:c r="E792" s="93"/>
      <x:c r="F792" s="93"/>
      <x:c r="G792" s="93"/>
      <x:c r="H792" s="93"/>
      <x:c r="I792" s="93"/>
      <x:c r="J792" s="93"/>
      <x:c r="K792" s="93"/>
    </x:row>
    <x:row r="793" s="92" customFormat="1" ht="7.900000095367432" customHeight="1">
      <x:c r="B793" s="93"/>
      <x:c r="C793" s="93"/>
      <x:c r="D793" s="93"/>
      <x:c r="E793" s="93"/>
      <x:c r="F793" s="93"/>
      <x:c r="G793" s="93"/>
      <x:c r="H793" s="93"/>
      <x:c r="I793" s="93"/>
      <x:c r="J793" s="93"/>
      <x:c r="K793" s="93"/>
    </x:row>
    <x:row r="794" s="92" customFormat="1" ht="7.900000095367432" customHeight="1">
      <x:c r="B794" s="93"/>
      <x:c r="C794" s="93"/>
      <x:c r="D794" s="93"/>
      <x:c r="E794" s="93"/>
      <x:c r="F794" s="93"/>
      <x:c r="G794" s="93"/>
      <x:c r="H794" s="93"/>
      <x:c r="I794" s="93"/>
      <x:c r="J794" s="93"/>
      <x:c r="K794" s="93"/>
    </x:row>
    <x:row r="795" s="92" customFormat="1" ht="7.900000095367432" customHeight="1">
      <x:c r="B795" s="93"/>
      <x:c r="C795" s="93"/>
      <x:c r="D795" s="93"/>
      <x:c r="E795" s="93"/>
      <x:c r="F795" s="93"/>
      <x:c r="G795" s="93"/>
      <x:c r="H795" s="93"/>
      <x:c r="I795" s="93"/>
      <x:c r="J795" s="93"/>
      <x:c r="K795" s="93"/>
    </x:row>
    <x:row r="796" s="92" customFormat="1" ht="7.900000095367432" customHeight="1">
      <x:c r="B796" s="93"/>
      <x:c r="C796" s="93"/>
      <x:c r="D796" s="93"/>
      <x:c r="E796" s="93"/>
      <x:c r="F796" s="93"/>
      <x:c r="G796" s="93"/>
      <x:c r="H796" s="93"/>
      <x:c r="I796" s="93"/>
      <x:c r="J796" s="93"/>
      <x:c r="K796" s="93"/>
    </x:row>
    <x:row r="797" s="92" customFormat="1" ht="7.900000095367432" customHeight="1">
      <x:c r="B797" s="93"/>
      <x:c r="C797" s="93"/>
      <x:c r="D797" s="93"/>
      <x:c r="E797" s="93"/>
      <x:c r="F797" s="93"/>
      <x:c r="G797" s="93"/>
      <x:c r="H797" s="93"/>
      <x:c r="I797" s="93"/>
      <x:c r="J797" s="93"/>
      <x:c r="K797" s="93"/>
    </x:row>
    <x:row r="798" s="92" customFormat="1" ht="7.900000095367432" customHeight="1">
      <x:c r="B798" s="93"/>
      <x:c r="C798" s="93"/>
      <x:c r="D798" s="93"/>
      <x:c r="E798" s="93"/>
      <x:c r="F798" s="93"/>
      <x:c r="G798" s="93"/>
      <x:c r="H798" s="93"/>
      <x:c r="I798" s="93"/>
      <x:c r="J798" s="93"/>
      <x:c r="K798" s="93"/>
    </x:row>
    <x:row r="799" s="92" customFormat="1" ht="7.900000095367432" customHeight="1">
      <x:c r="B799" s="93"/>
      <x:c r="C799" s="93"/>
      <x:c r="D799" s="93"/>
      <x:c r="E799" s="93"/>
      <x:c r="F799" s="93"/>
      <x:c r="G799" s="93"/>
      <x:c r="H799" s="93"/>
      <x:c r="I799" s="93"/>
      <x:c r="J799" s="93"/>
      <x:c r="K799" s="93"/>
    </x:row>
    <x:row r="800" s="92" customFormat="1" ht="7.900000095367432" customHeight="1">
      <x:c r="B800" s="93"/>
      <x:c r="C800" s="93"/>
      <x:c r="D800" s="93"/>
      <x:c r="E800" s="93"/>
      <x:c r="F800" s="93"/>
      <x:c r="G800" s="93"/>
      <x:c r="H800" s="93"/>
      <x:c r="I800" s="93"/>
      <x:c r="J800" s="93"/>
      <x:c r="K800" s="93"/>
    </x:row>
    <x:row r="801" s="92" customFormat="1" ht="7.900000095367432" customHeight="1">
      <x:c r="B801" s="93"/>
      <x:c r="C801" s="93"/>
      <x:c r="D801" s="93"/>
      <x:c r="E801" s="93"/>
      <x:c r="F801" s="93"/>
      <x:c r="G801" s="93"/>
      <x:c r="H801" s="93"/>
      <x:c r="I801" s="93"/>
      <x:c r="J801" s="93"/>
      <x:c r="K801" s="93"/>
    </x:row>
    <x:row r="802" s="92" customFormat="1" ht="7.900000095367432" customHeight="1">
      <x:c r="B802" s="93"/>
      <x:c r="C802" s="93"/>
      <x:c r="D802" s="93"/>
      <x:c r="E802" s="93"/>
      <x:c r="F802" s="93"/>
      <x:c r="G802" s="93"/>
      <x:c r="H802" s="93"/>
      <x:c r="I802" s="93"/>
      <x:c r="J802" s="93"/>
      <x:c r="K802" s="93"/>
    </x:row>
    <x:row r="803" s="92" customFormat="1" ht="7.900000095367432" customHeight="1">
      <x:c r="B803" s="93"/>
      <x:c r="C803" s="93"/>
      <x:c r="D803" s="93"/>
      <x:c r="E803" s="93"/>
      <x:c r="F803" s="93"/>
      <x:c r="G803" s="93"/>
      <x:c r="H803" s="93"/>
      <x:c r="I803" s="93"/>
      <x:c r="J803" s="93"/>
      <x:c r="K803" s="93"/>
    </x:row>
    <x:row r="804" s="92" customFormat="1" ht="7.900000095367432" customHeight="1">
      <x:c r="B804" s="93"/>
      <x:c r="C804" s="93"/>
      <x:c r="D804" s="93"/>
      <x:c r="E804" s="93"/>
      <x:c r="F804" s="93"/>
      <x:c r="G804" s="93"/>
      <x:c r="H804" s="93"/>
      <x:c r="I804" s="93"/>
      <x:c r="J804" s="93"/>
      <x:c r="K804" s="93"/>
    </x:row>
    <x:row r="805" s="92" customFormat="1" ht="7.900000095367432" customHeight="1">
      <x:c r="B805" s="93"/>
      <x:c r="C805" s="93"/>
      <x:c r="D805" s="93"/>
      <x:c r="E805" s="93"/>
      <x:c r="F805" s="93"/>
      <x:c r="G805" s="93"/>
      <x:c r="H805" s="93"/>
      <x:c r="I805" s="93"/>
      <x:c r="J805" s="93"/>
      <x:c r="K805" s="93"/>
    </x:row>
    <x:row r="806" s="92" customFormat="1" ht="7.900000095367432" customHeight="1">
      <x:c r="B806" s="93"/>
      <x:c r="C806" s="93"/>
      <x:c r="D806" s="93"/>
      <x:c r="E806" s="93"/>
      <x:c r="F806" s="93"/>
      <x:c r="G806" s="93"/>
      <x:c r="H806" s="93"/>
      <x:c r="I806" s="93"/>
      <x:c r="J806" s="93"/>
      <x:c r="K806" s="93"/>
    </x:row>
    <x:row r="807" s="92" customFormat="1" ht="7.900000095367432" customHeight="1">
      <x:c r="B807" s="93"/>
      <x:c r="C807" s="93"/>
      <x:c r="D807" s="93"/>
      <x:c r="E807" s="93"/>
      <x:c r="F807" s="93"/>
      <x:c r="G807" s="93"/>
      <x:c r="H807" s="93"/>
      <x:c r="I807" s="93"/>
      <x:c r="J807" s="93"/>
      <x:c r="K807" s="93"/>
    </x:row>
    <x:row r="808" s="92" customFormat="1" ht="7.900000095367432" customHeight="1">
      <x:c r="B808" s="93"/>
      <x:c r="C808" s="93"/>
      <x:c r="D808" s="93"/>
      <x:c r="E808" s="93"/>
      <x:c r="F808" s="93"/>
      <x:c r="G808" s="93"/>
      <x:c r="H808" s="93"/>
      <x:c r="I808" s="93"/>
      <x:c r="J808" s="93"/>
      <x:c r="K808" s="93"/>
    </x:row>
    <x:row r="809" s="92" customFormat="1" ht="7.900000095367432" customHeight="1">
      <x:c r="B809" s="93"/>
      <x:c r="C809" s="93"/>
      <x:c r="D809" s="93"/>
      <x:c r="E809" s="93"/>
      <x:c r="F809" s="93"/>
      <x:c r="G809" s="93"/>
      <x:c r="H809" s="93"/>
      <x:c r="I809" s="93"/>
      <x:c r="J809" s="93"/>
      <x:c r="K809" s="93"/>
    </x:row>
    <x:row r="810" s="92" customFormat="1" ht="7.900000095367432" customHeight="1">
      <x:c r="B810" s="93"/>
      <x:c r="C810" s="93"/>
      <x:c r="D810" s="93"/>
      <x:c r="E810" s="93"/>
      <x:c r="F810" s="93"/>
      <x:c r="G810" s="93"/>
      <x:c r="H810" s="93"/>
      <x:c r="I810" s="93"/>
      <x:c r="J810" s="93"/>
      <x:c r="K810" s="93"/>
    </x:row>
    <x:row r="811" s="92" customFormat="1" ht="7.900000095367432" customHeight="1">
      <x:c r="B811" s="93"/>
      <x:c r="C811" s="93"/>
      <x:c r="D811" s="93"/>
      <x:c r="E811" s="93"/>
      <x:c r="F811" s="93"/>
      <x:c r="G811" s="93"/>
      <x:c r="H811" s="93"/>
      <x:c r="I811" s="93"/>
      <x:c r="J811" s="93"/>
      <x:c r="K811" s="93"/>
    </x:row>
    <x:row r="812" s="92" customFormat="1" ht="7.900000095367432" customHeight="1">
      <x:c r="B812" s="93"/>
      <x:c r="C812" s="93"/>
      <x:c r="D812" s="93"/>
      <x:c r="E812" s="93"/>
      <x:c r="F812" s="93"/>
      <x:c r="G812" s="93"/>
      <x:c r="H812" s="93"/>
      <x:c r="I812" s="93"/>
      <x:c r="J812" s="93"/>
      <x:c r="K812" s="93"/>
    </x:row>
    <x:row r="813" s="92" customFormat="1" ht="7.900000095367432" customHeight="1">
      <x:c r="B813" s="93"/>
      <x:c r="C813" s="93"/>
      <x:c r="D813" s="93"/>
      <x:c r="E813" s="93"/>
      <x:c r="F813" s="93"/>
      <x:c r="G813" s="93"/>
      <x:c r="H813" s="93"/>
      <x:c r="I813" s="93"/>
      <x:c r="J813" s="93"/>
      <x:c r="K813" s="93"/>
    </x:row>
    <x:row r="814" s="92" customFormat="1" ht="7.900000095367432" customHeight="1">
      <x:c r="B814" s="93"/>
      <x:c r="C814" s="93"/>
      <x:c r="D814" s="93"/>
      <x:c r="E814" s="93"/>
      <x:c r="F814" s="93"/>
      <x:c r="G814" s="93"/>
      <x:c r="H814" s="93"/>
      <x:c r="I814" s="93"/>
      <x:c r="J814" s="93"/>
      <x:c r="K814" s="93"/>
    </x:row>
    <x:row r="815" s="92" customFormat="1" ht="7.900000095367432" customHeight="1">
      <x:c r="B815" s="93"/>
      <x:c r="C815" s="93"/>
      <x:c r="D815" s="93"/>
      <x:c r="E815" s="93"/>
      <x:c r="F815" s="93"/>
      <x:c r="G815" s="93"/>
      <x:c r="H815" s="93"/>
      <x:c r="I815" s="93"/>
      <x:c r="J815" s="93"/>
      <x:c r="K815" s="93"/>
    </x:row>
    <x:row r="816" s="92" customFormat="1" ht="7.900000095367432" customHeight="1">
      <x:c r="B816" s="93"/>
      <x:c r="C816" s="93"/>
      <x:c r="D816" s="93"/>
      <x:c r="E816" s="93"/>
      <x:c r="F816" s="93"/>
      <x:c r="G816" s="93"/>
      <x:c r="H816" s="93"/>
      <x:c r="I816" s="93"/>
      <x:c r="J816" s="93"/>
      <x:c r="K816" s="93"/>
    </x:row>
    <x:row r="817" s="92" customFormat="1" ht="7.900000095367432" customHeight="1">
      <x:c r="B817" s="93"/>
      <x:c r="C817" s="93"/>
      <x:c r="D817" s="93"/>
      <x:c r="E817" s="93"/>
      <x:c r="F817" s="93"/>
      <x:c r="G817" s="93"/>
      <x:c r="H817" s="93"/>
      <x:c r="I817" s="93"/>
      <x:c r="J817" s="93"/>
      <x:c r="K817" s="93"/>
    </x:row>
    <x:row r="818" s="92" customFormat="1" ht="7.900000095367432" customHeight="1">
      <x:c r="B818" s="93"/>
      <x:c r="C818" s="93"/>
      <x:c r="D818" s="93"/>
      <x:c r="E818" s="93"/>
      <x:c r="F818" s="93"/>
      <x:c r="G818" s="93"/>
      <x:c r="H818" s="93"/>
      <x:c r="I818" s="93"/>
      <x:c r="J818" s="93"/>
      <x:c r="K818" s="93"/>
    </x:row>
    <x:row r="819" s="92" customFormat="1" ht="7.900000095367432" customHeight="1">
      <x:c r="B819" s="93"/>
      <x:c r="C819" s="93"/>
      <x:c r="D819" s="93"/>
      <x:c r="E819" s="93"/>
      <x:c r="F819" s="93"/>
      <x:c r="G819" s="93"/>
      <x:c r="H819" s="93"/>
      <x:c r="I819" s="93"/>
      <x:c r="J819" s="93"/>
      <x:c r="K819" s="93"/>
    </x:row>
    <x:row r="820" s="92" customFormat="1" ht="7.900000095367432" customHeight="1">
      <x:c r="B820" s="93"/>
      <x:c r="C820" s="93"/>
      <x:c r="D820" s="93"/>
      <x:c r="E820" s="93"/>
      <x:c r="F820" s="93"/>
      <x:c r="G820" s="93"/>
      <x:c r="H820" s="93"/>
      <x:c r="I820" s="93"/>
      <x:c r="J820" s="93"/>
      <x:c r="K820" s="93"/>
    </x:row>
    <x:row r="821" s="92" customFormat="1" ht="7.900000095367432" customHeight="1">
      <x:c r="B821" s="93"/>
      <x:c r="C821" s="93"/>
      <x:c r="D821" s="93"/>
      <x:c r="E821" s="93"/>
      <x:c r="F821" s="93"/>
      <x:c r="G821" s="93"/>
      <x:c r="H821" s="93"/>
      <x:c r="I821" s="93"/>
      <x:c r="J821" s="93"/>
      <x:c r="K821" s="93"/>
    </x:row>
    <x:row r="822" s="92" customFormat="1" ht="7.900000095367432" customHeight="1">
      <x:c r="B822" s="93"/>
      <x:c r="C822" s="93"/>
      <x:c r="D822" s="93"/>
      <x:c r="E822" s="93"/>
      <x:c r="F822" s="93"/>
      <x:c r="G822" s="93"/>
      <x:c r="H822" s="93"/>
      <x:c r="I822" s="93"/>
      <x:c r="J822" s="93"/>
      <x:c r="K822" s="93"/>
    </x:row>
    <x:row r="823" s="92" customFormat="1" ht="7.900000095367432" customHeight="1">
      <x:c r="B823" s="93"/>
      <x:c r="C823" s="93"/>
      <x:c r="D823" s="93"/>
      <x:c r="E823" s="93"/>
      <x:c r="F823" s="93"/>
      <x:c r="G823" s="93"/>
      <x:c r="H823" s="93"/>
      <x:c r="I823" s="93"/>
      <x:c r="J823" s="93"/>
      <x:c r="K823" s="93"/>
    </x:row>
    <x:row r="824" s="92" customFormat="1" ht="7.900000095367432" customHeight="1">
      <x:c r="B824" s="93"/>
      <x:c r="C824" s="93"/>
      <x:c r="D824" s="93"/>
      <x:c r="E824" s="93"/>
      <x:c r="F824" s="93"/>
      <x:c r="G824" s="93"/>
      <x:c r="H824" s="93"/>
      <x:c r="I824" s="93"/>
      <x:c r="J824" s="93"/>
      <x:c r="K824" s="93"/>
    </x:row>
    <x:row r="825" s="92" customFormat="1" ht="7.900000095367432" customHeight="1">
      <x:c r="B825" s="93"/>
      <x:c r="C825" s="93"/>
      <x:c r="D825" s="93"/>
      <x:c r="E825" s="93"/>
      <x:c r="F825" s="93"/>
      <x:c r="G825" s="93"/>
      <x:c r="H825" s="93"/>
      <x:c r="I825" s="93"/>
      <x:c r="J825" s="93"/>
      <x:c r="K825" s="93"/>
    </x:row>
    <x:row r="826" s="92" customFormat="1" ht="7.900000095367432" customHeight="1">
      <x:c r="B826" s="93"/>
      <x:c r="C826" s="93"/>
      <x:c r="D826" s="93"/>
      <x:c r="E826" s="93"/>
      <x:c r="F826" s="93"/>
      <x:c r="G826" s="93"/>
      <x:c r="H826" s="93"/>
      <x:c r="I826" s="93"/>
      <x:c r="J826" s="93"/>
      <x:c r="K826" s="93"/>
    </x:row>
    <x:row r="827" s="92" customFormat="1" ht="7.900000095367432" customHeight="1">
      <x:c r="B827" s="93"/>
      <x:c r="C827" s="93"/>
      <x:c r="D827" s="93"/>
      <x:c r="E827" s="93"/>
      <x:c r="F827" s="93"/>
      <x:c r="G827" s="93"/>
      <x:c r="H827" s="93"/>
      <x:c r="I827" s="93"/>
      <x:c r="J827" s="93"/>
      <x:c r="K827" s="93"/>
    </x:row>
    <x:row r="828" s="92" customFormat="1" ht="7.900000095367432" customHeight="1">
      <x:c r="B828" s="93"/>
      <x:c r="C828" s="93"/>
      <x:c r="D828" s="93"/>
      <x:c r="E828" s="93"/>
      <x:c r="F828" s="93"/>
      <x:c r="G828" s="93"/>
      <x:c r="H828" s="93"/>
      <x:c r="I828" s="93"/>
      <x:c r="J828" s="93"/>
      <x:c r="K828" s="93"/>
    </x:row>
    <x:row r="829" s="92" customFormat="1" ht="7.900000095367432" customHeight="1">
      <x:c r="B829" s="93"/>
      <x:c r="C829" s="93"/>
      <x:c r="D829" s="93"/>
      <x:c r="E829" s="93"/>
      <x:c r="F829" s="93"/>
      <x:c r="G829" s="93"/>
      <x:c r="H829" s="93"/>
      <x:c r="I829" s="93"/>
      <x:c r="J829" s="93"/>
      <x:c r="K829" s="93"/>
    </x:row>
    <x:row r="830" s="92" customFormat="1" ht="7.900000095367432" customHeight="1">
      <x:c r="B830" s="93"/>
      <x:c r="C830" s="93"/>
      <x:c r="D830" s="93"/>
      <x:c r="E830" s="93"/>
      <x:c r="F830" s="93"/>
      <x:c r="G830" s="93"/>
      <x:c r="H830" s="93"/>
      <x:c r="I830" s="93"/>
      <x:c r="J830" s="93"/>
      <x:c r="K830" s="93"/>
    </x:row>
    <x:row r="831" s="92" customFormat="1" ht="7.900000095367432" customHeight="1">
      <x:c r="B831" s="93"/>
      <x:c r="C831" s="93"/>
      <x:c r="D831" s="93"/>
      <x:c r="E831" s="93"/>
      <x:c r="F831" s="93"/>
      <x:c r="G831" s="93"/>
      <x:c r="H831" s="93"/>
      <x:c r="I831" s="93"/>
      <x:c r="J831" s="93"/>
      <x:c r="K831" s="93"/>
    </x:row>
    <x:row r="832" s="92" customFormat="1" ht="7.900000095367432" customHeight="1">
      <x:c r="B832" s="93"/>
      <x:c r="C832" s="93"/>
      <x:c r="D832" s="93"/>
      <x:c r="E832" s="93"/>
      <x:c r="F832" s="93"/>
      <x:c r="G832" s="93"/>
      <x:c r="H832" s="93"/>
      <x:c r="I832" s="93"/>
      <x:c r="J832" s="93"/>
      <x:c r="K832" s="93"/>
    </x:row>
    <x:row r="833" s="92" customFormat="1" ht="7.900000095367432" customHeight="1">
      <x:c r="B833" s="93"/>
      <x:c r="C833" s="93"/>
      <x:c r="D833" s="93"/>
      <x:c r="E833" s="93"/>
      <x:c r="F833" s="93"/>
      <x:c r="G833" s="93"/>
      <x:c r="H833" s="93"/>
      <x:c r="I833" s="93"/>
      <x:c r="J833" s="93"/>
      <x:c r="K833" s="93"/>
    </x:row>
    <x:row r="834" s="92" customFormat="1" ht="7.900000095367432" customHeight="1">
      <x:c r="B834" s="93"/>
      <x:c r="C834" s="93"/>
      <x:c r="D834" s="93"/>
      <x:c r="E834" s="93"/>
      <x:c r="F834" s="93"/>
      <x:c r="G834" s="93"/>
      <x:c r="H834" s="93"/>
      <x:c r="I834" s="93"/>
      <x:c r="J834" s="93"/>
      <x:c r="K834" s="93"/>
    </x:row>
    <x:row r="835" s="92" customFormat="1" ht="7.900000095367432" customHeight="1">
      <x:c r="B835" s="93"/>
      <x:c r="C835" s="93"/>
      <x:c r="D835" s="93"/>
      <x:c r="E835" s="93"/>
      <x:c r="F835" s="93"/>
      <x:c r="G835" s="93"/>
      <x:c r="H835" s="93"/>
      <x:c r="I835" s="93"/>
      <x:c r="J835" s="93"/>
      <x:c r="K835" s="93"/>
    </x:row>
    <x:row r="836" s="92" customFormat="1" ht="7.900000095367432" customHeight="1">
      <x:c r="B836" s="93"/>
      <x:c r="C836" s="93"/>
      <x:c r="D836" s="93"/>
      <x:c r="E836" s="93"/>
      <x:c r="F836" s="93"/>
      <x:c r="G836" s="93"/>
      <x:c r="H836" s="93"/>
      <x:c r="I836" s="93"/>
      <x:c r="J836" s="93"/>
      <x:c r="K836" s="93"/>
    </x:row>
    <x:row r="837" s="92" customFormat="1" ht="7.900000095367432" customHeight="1">
      <x:c r="B837" s="93"/>
      <x:c r="C837" s="93"/>
      <x:c r="D837" s="93"/>
      <x:c r="E837" s="93"/>
      <x:c r="F837" s="93"/>
      <x:c r="G837" s="93"/>
      <x:c r="H837" s="93"/>
      <x:c r="I837" s="93"/>
      <x:c r="J837" s="93"/>
      <x:c r="K837" s="93"/>
    </x:row>
    <x:row r="838" s="92" customFormat="1" ht="7.900000095367432" customHeight="1">
      <x:c r="B838" s="93"/>
      <x:c r="C838" s="93"/>
      <x:c r="D838" s="93"/>
      <x:c r="E838" s="93"/>
      <x:c r="F838" s="93"/>
      <x:c r="G838" s="93"/>
      <x:c r="H838" s="93"/>
      <x:c r="I838" s="93"/>
      <x:c r="J838" s="93"/>
      <x:c r="K838" s="93"/>
    </x:row>
    <x:row r="839" s="92" customFormat="1" ht="7.900000095367432" customHeight="1">
      <x:c r="B839" s="93"/>
      <x:c r="C839" s="93"/>
      <x:c r="D839" s="93"/>
      <x:c r="E839" s="93"/>
      <x:c r="F839" s="93"/>
      <x:c r="G839" s="93"/>
      <x:c r="H839" s="93"/>
      <x:c r="I839" s="93"/>
      <x:c r="J839" s="93"/>
      <x:c r="K839" s="93"/>
    </x:row>
    <x:row r="840" s="92" customFormat="1" ht="7.900000095367432" customHeight="1">
      <x:c r="B840" s="93"/>
      <x:c r="C840" s="93"/>
      <x:c r="D840" s="93"/>
      <x:c r="E840" s="93"/>
      <x:c r="F840" s="93"/>
      <x:c r="G840" s="93"/>
      <x:c r="H840" s="93"/>
      <x:c r="I840" s="93"/>
      <x:c r="J840" s="93"/>
      <x:c r="K840" s="93"/>
    </x:row>
    <x:row r="841" s="92" customFormat="1" ht="7.900000095367432" customHeight="1">
      <x:c r="B841" s="93"/>
      <x:c r="C841" s="93"/>
      <x:c r="D841" s="93"/>
      <x:c r="E841" s="93"/>
      <x:c r="F841" s="93"/>
      <x:c r="G841" s="93"/>
      <x:c r="H841" s="93"/>
      <x:c r="I841" s="93"/>
      <x:c r="J841" s="93"/>
      <x:c r="K841" s="93"/>
    </x:row>
    <x:row r="842" s="92" customFormat="1" ht="7.900000095367432" customHeight="1">
      <x:c r="B842" s="93"/>
      <x:c r="C842" s="93"/>
      <x:c r="D842" s="93"/>
      <x:c r="E842" s="93"/>
      <x:c r="F842" s="93"/>
      <x:c r="G842" s="93"/>
      <x:c r="H842" s="93"/>
      <x:c r="I842" s="93"/>
      <x:c r="J842" s="93"/>
      <x:c r="K842" s="93"/>
    </x:row>
    <x:row r="843" s="92" customFormat="1" ht="7.900000095367432" customHeight="1">
      <x:c r="B843" s="93"/>
      <x:c r="C843" s="93"/>
      <x:c r="D843" s="93"/>
      <x:c r="E843" s="93"/>
      <x:c r="F843" s="93"/>
      <x:c r="G843" s="93"/>
      <x:c r="H843" s="93"/>
      <x:c r="I843" s="93"/>
      <x:c r="J843" s="93"/>
      <x:c r="K843" s="93"/>
    </x:row>
    <x:row r="844" s="92" customFormat="1" ht="7.900000095367432" customHeight="1">
      <x:c r="B844" s="93"/>
      <x:c r="C844" s="93"/>
      <x:c r="D844" s="93"/>
      <x:c r="E844" s="93"/>
      <x:c r="F844" s="93"/>
      <x:c r="G844" s="93"/>
      <x:c r="H844" s="93"/>
      <x:c r="I844" s="93"/>
      <x:c r="J844" s="93"/>
      <x:c r="K844" s="93"/>
    </x:row>
    <x:row r="845" s="92" customFormat="1" ht="7.900000095367432" customHeight="1">
      <x:c r="B845" s="93"/>
      <x:c r="C845" s="93"/>
      <x:c r="D845" s="93"/>
      <x:c r="E845" s="93"/>
      <x:c r="F845" s="93"/>
      <x:c r="G845" s="93"/>
      <x:c r="H845" s="93"/>
      <x:c r="I845" s="93"/>
      <x:c r="J845" s="93"/>
      <x:c r="K845" s="93"/>
    </x:row>
    <x:row r="846" s="92" customFormat="1" ht="7.900000095367432" customHeight="1">
      <x:c r="B846" s="93"/>
      <x:c r="C846" s="93"/>
      <x:c r="D846" s="93"/>
      <x:c r="E846" s="93"/>
      <x:c r="F846" s="93"/>
      <x:c r="G846" s="93"/>
      <x:c r="H846" s="93"/>
      <x:c r="I846" s="93"/>
      <x:c r="J846" s="93"/>
      <x:c r="K846" s="93"/>
    </x:row>
    <x:row r="847" s="92" customFormat="1" ht="7.900000095367432" customHeight="1">
      <x:c r="B847" s="93"/>
      <x:c r="C847" s="93"/>
      <x:c r="D847" s="93"/>
      <x:c r="E847" s="93"/>
      <x:c r="F847" s="93"/>
      <x:c r="G847" s="93"/>
      <x:c r="H847" s="93"/>
      <x:c r="I847" s="93"/>
      <x:c r="J847" s="93"/>
      <x:c r="K847" s="93"/>
    </x:row>
    <x:row r="848" s="92" customFormat="1" ht="7.900000095367432" customHeight="1">
      <x:c r="B848" s="93"/>
      <x:c r="C848" s="93"/>
      <x:c r="D848" s="93"/>
      <x:c r="E848" s="93"/>
      <x:c r="F848" s="93"/>
      <x:c r="G848" s="93"/>
      <x:c r="H848" s="93"/>
      <x:c r="I848" s="93"/>
      <x:c r="J848" s="93"/>
      <x:c r="K848" s="93"/>
    </x:row>
    <x:row r="849" s="92" customFormat="1" ht="7.900000095367432" customHeight="1">
      <x:c r="B849" s="93"/>
      <x:c r="C849" s="93"/>
      <x:c r="D849" s="93"/>
      <x:c r="E849" s="93"/>
      <x:c r="F849" s="93"/>
      <x:c r="G849" s="93"/>
      <x:c r="H849" s="93"/>
      <x:c r="I849" s="93"/>
      <x:c r="J849" s="93"/>
      <x:c r="K849" s="93"/>
    </x:row>
    <x:row r="850" s="92" customFormat="1" ht="7.900000095367432" customHeight="1">
      <x:c r="B850" s="93"/>
      <x:c r="C850" s="93"/>
      <x:c r="D850" s="93"/>
      <x:c r="E850" s="93"/>
      <x:c r="F850" s="93"/>
      <x:c r="G850" s="93"/>
      <x:c r="H850" s="93"/>
      <x:c r="I850" s="93"/>
      <x:c r="J850" s="93"/>
      <x:c r="K850" s="93"/>
    </x:row>
    <x:row r="851" s="92" customFormat="1" ht="7.900000095367432" customHeight="1">
      <x:c r="B851" s="93"/>
      <x:c r="C851" s="93"/>
      <x:c r="D851" s="93"/>
      <x:c r="E851" s="93"/>
      <x:c r="F851" s="93"/>
      <x:c r="G851" s="93"/>
      <x:c r="H851" s="93"/>
      <x:c r="I851" s="93"/>
      <x:c r="J851" s="93"/>
      <x:c r="K851" s="93"/>
    </x:row>
    <x:row r="852" s="92" customFormat="1" ht="7.900000095367432" customHeight="1">
      <x:c r="B852" s="93"/>
      <x:c r="C852" s="93"/>
      <x:c r="D852" s="93"/>
      <x:c r="E852" s="93"/>
      <x:c r="F852" s="93"/>
      <x:c r="G852" s="93"/>
      <x:c r="H852" s="93"/>
      <x:c r="I852" s="93"/>
      <x:c r="J852" s="93"/>
      <x:c r="K852" s="93"/>
    </x:row>
    <x:row r="853" s="92" customFormat="1" ht="7.900000095367432" customHeight="1">
      <x:c r="B853" s="93"/>
      <x:c r="C853" s="93"/>
      <x:c r="D853" s="93"/>
      <x:c r="E853" s="93"/>
      <x:c r="F853" s="93"/>
      <x:c r="G853" s="93"/>
      <x:c r="H853" s="93"/>
      <x:c r="I853" s="93"/>
      <x:c r="J853" s="93"/>
      <x:c r="K853" s="93"/>
    </x:row>
    <x:row r="854" s="92" customFormat="1" ht="7.900000095367432" customHeight="1">
      <x:c r="B854" s="93"/>
      <x:c r="C854" s="93"/>
      <x:c r="D854" s="93"/>
      <x:c r="E854" s="93"/>
      <x:c r="F854" s="93"/>
      <x:c r="G854" s="93"/>
      <x:c r="H854" s="93"/>
      <x:c r="I854" s="93"/>
      <x:c r="J854" s="93"/>
      <x:c r="K854" s="93"/>
    </x:row>
    <x:row r="855" s="92" customFormat="1" ht="7.900000095367432" customHeight="1">
      <x:c r="B855" s="93"/>
      <x:c r="C855" s="93"/>
      <x:c r="D855" s="93"/>
      <x:c r="E855" s="93"/>
      <x:c r="F855" s="93"/>
      <x:c r="G855" s="93"/>
      <x:c r="H855" s="93"/>
      <x:c r="I855" s="93"/>
      <x:c r="J855" s="93"/>
      <x:c r="K855" s="93"/>
    </x:row>
    <x:row r="856" s="92" customFormat="1" ht="7.900000095367432" customHeight="1">
      <x:c r="B856" s="93"/>
      <x:c r="C856" s="93"/>
      <x:c r="D856" s="93"/>
      <x:c r="E856" s="93"/>
      <x:c r="F856" s="93"/>
      <x:c r="G856" s="93"/>
      <x:c r="H856" s="93"/>
      <x:c r="I856" s="93"/>
      <x:c r="J856" s="93"/>
      <x:c r="K856" s="93"/>
    </x:row>
    <x:row r="857" s="92" customFormat="1" ht="7.900000095367432" customHeight="1">
      <x:c r="B857" s="93"/>
      <x:c r="C857" s="93"/>
      <x:c r="D857" s="93"/>
      <x:c r="E857" s="93"/>
      <x:c r="F857" s="93"/>
      <x:c r="G857" s="93"/>
      <x:c r="H857" s="93"/>
      <x:c r="I857" s="93"/>
      <x:c r="J857" s="93"/>
      <x:c r="K857" s="93"/>
    </x:row>
    <x:row r="858" s="92" customFormat="1" ht="7.900000095367432" customHeight="1">
      <x:c r="B858" s="93"/>
      <x:c r="C858" s="93"/>
      <x:c r="D858" s="93"/>
      <x:c r="E858" s="93"/>
      <x:c r="F858" s="93"/>
      <x:c r="G858" s="93"/>
      <x:c r="H858" s="93"/>
      <x:c r="I858" s="93"/>
      <x:c r="J858" s="93"/>
      <x:c r="K858" s="93"/>
    </x:row>
    <x:row r="859" s="92" customFormat="1" ht="7.900000095367432" customHeight="1">
      <x:c r="B859" s="93"/>
      <x:c r="C859" s="93"/>
      <x:c r="D859" s="93"/>
      <x:c r="E859" s="93"/>
      <x:c r="F859" s="93"/>
      <x:c r="G859" s="93"/>
      <x:c r="H859" s="93"/>
      <x:c r="I859" s="93"/>
      <x:c r="J859" s="93"/>
      <x:c r="K859" s="93"/>
    </x:row>
    <x:row r="860" s="92" customFormat="1" ht="7.900000095367432" customHeight="1">
      <x:c r="B860" s="93"/>
      <x:c r="C860" s="93"/>
      <x:c r="D860" s="93"/>
      <x:c r="E860" s="93"/>
      <x:c r="F860" s="93"/>
      <x:c r="G860" s="93"/>
      <x:c r="H860" s="93"/>
      <x:c r="I860" s="93"/>
      <x:c r="J860" s="93"/>
      <x:c r="K860" s="93"/>
    </x:row>
    <x:row r="861" s="92" customFormat="1" ht="7.900000095367432" customHeight="1">
      <x:c r="B861" s="93"/>
      <x:c r="C861" s="93"/>
      <x:c r="D861" s="93"/>
      <x:c r="E861" s="93"/>
      <x:c r="F861" s="93"/>
      <x:c r="G861" s="93"/>
      <x:c r="H861" s="93"/>
      <x:c r="I861" s="93"/>
      <x:c r="J861" s="93"/>
      <x:c r="K861" s="93"/>
    </x:row>
    <x:row r="862" s="92" customFormat="1" ht="7.900000095367432" customHeight="1">
      <x:c r="B862" s="93"/>
      <x:c r="C862" s="93"/>
      <x:c r="D862" s="93"/>
      <x:c r="E862" s="93"/>
      <x:c r="F862" s="93"/>
      <x:c r="G862" s="93"/>
      <x:c r="H862" s="93"/>
      <x:c r="I862" s="93"/>
      <x:c r="J862" s="93"/>
      <x:c r="K862" s="93"/>
    </x:row>
    <x:row r="863" s="92" customFormat="1" ht="7.900000095367432" customHeight="1">
      <x:c r="B863" s="93"/>
      <x:c r="C863" s="93"/>
      <x:c r="D863" s="93"/>
      <x:c r="E863" s="93"/>
      <x:c r="F863" s="93"/>
      <x:c r="G863" s="93"/>
      <x:c r="H863" s="93"/>
      <x:c r="I863" s="93"/>
      <x:c r="J863" s="93"/>
      <x:c r="K863" s="93"/>
    </x:row>
    <x:row r="864" s="92" customFormat="1" ht="7.900000095367432" customHeight="1">
      <x:c r="B864" s="93"/>
      <x:c r="C864" s="93"/>
      <x:c r="D864" s="93"/>
      <x:c r="E864" s="93"/>
      <x:c r="F864" s="93"/>
      <x:c r="G864" s="93"/>
      <x:c r="H864" s="93"/>
      <x:c r="I864" s="93"/>
      <x:c r="J864" s="93"/>
      <x:c r="K864" s="93"/>
    </x:row>
    <x:row r="865" s="92" customFormat="1" ht="7.900000095367432" customHeight="1">
      <x:c r="B865" s="93"/>
      <x:c r="C865" s="93"/>
      <x:c r="D865" s="93"/>
      <x:c r="E865" s="93"/>
      <x:c r="F865" s="93"/>
      <x:c r="G865" s="93"/>
      <x:c r="H865" s="93"/>
      <x:c r="I865" s="93"/>
      <x:c r="J865" s="93"/>
      <x:c r="K865" s="93"/>
    </x:row>
    <x:row r="866" s="92" customFormat="1" ht="7.900000095367432" customHeight="1">
      <x:c r="B866" s="93"/>
      <x:c r="C866" s="93"/>
      <x:c r="D866" s="93"/>
      <x:c r="E866" s="93"/>
      <x:c r="F866" s="93"/>
      <x:c r="G866" s="93"/>
      <x:c r="H866" s="93"/>
      <x:c r="I866" s="93"/>
      <x:c r="J866" s="93"/>
      <x:c r="K866" s="93"/>
    </x:row>
    <x:row r="867" s="92" customFormat="1" ht="7.900000095367432" customHeight="1">
      <x:c r="B867" s="93"/>
      <x:c r="C867" s="93"/>
      <x:c r="D867" s="93"/>
      <x:c r="E867" s="93"/>
      <x:c r="F867" s="93"/>
      <x:c r="G867" s="93"/>
      <x:c r="H867" s="93"/>
      <x:c r="I867" s="93"/>
      <x:c r="J867" s="93"/>
      <x:c r="K867" s="93"/>
    </x:row>
    <x:row r="868" s="92" customFormat="1" ht="7.900000095367432" customHeight="1">
      <x:c r="B868" s="93"/>
      <x:c r="C868" s="93"/>
      <x:c r="D868" s="93"/>
      <x:c r="E868" s="93"/>
      <x:c r="F868" s="93"/>
      <x:c r="G868" s="93"/>
      <x:c r="H868" s="93"/>
      <x:c r="I868" s="93"/>
      <x:c r="J868" s="93"/>
      <x:c r="K868" s="93"/>
    </x:row>
    <x:row r="869" s="92" customFormat="1" ht="7.900000095367432" customHeight="1">
      <x:c r="B869" s="93"/>
      <x:c r="C869" s="93"/>
      <x:c r="D869" s="93"/>
      <x:c r="E869" s="93"/>
      <x:c r="F869" s="93"/>
      <x:c r="G869" s="93"/>
      <x:c r="H869" s="93"/>
      <x:c r="I869" s="93"/>
      <x:c r="J869" s="93"/>
      <x:c r="K869" s="93"/>
    </x:row>
    <x:row r="870" s="92" customFormat="1" ht="7.900000095367432" customHeight="1">
      <x:c r="B870" s="93"/>
      <x:c r="C870" s="93"/>
      <x:c r="D870" s="93"/>
      <x:c r="E870" s="93"/>
      <x:c r="F870" s="93"/>
      <x:c r="G870" s="93"/>
      <x:c r="H870" s="93"/>
      <x:c r="I870" s="93"/>
      <x:c r="J870" s="93"/>
      <x:c r="K870" s="93"/>
    </x:row>
    <x:row r="871" s="92" customFormat="1" ht="7.900000095367432" customHeight="1">
      <x:c r="B871" s="93"/>
      <x:c r="C871" s="93"/>
      <x:c r="D871" s="93"/>
      <x:c r="E871" s="93"/>
      <x:c r="F871" s="93"/>
      <x:c r="G871" s="93"/>
      <x:c r="H871" s="93"/>
      <x:c r="I871" s="93"/>
      <x:c r="J871" s="93"/>
      <x:c r="K871" s="93"/>
    </x:row>
    <x:row r="872" s="92" customFormat="1" ht="7.900000095367432" customHeight="1">
      <x:c r="B872" s="93"/>
      <x:c r="C872" s="93"/>
      <x:c r="D872" s="93"/>
      <x:c r="E872" s="93"/>
      <x:c r="F872" s="93"/>
      <x:c r="G872" s="93"/>
      <x:c r="H872" s="93"/>
      <x:c r="I872" s="93"/>
      <x:c r="J872" s="93"/>
      <x:c r="K872" s="93"/>
    </x:row>
    <x:row r="873" s="92" customFormat="1" ht="7.900000095367432" customHeight="1">
      <x:c r="B873" s="93"/>
      <x:c r="C873" s="93"/>
      <x:c r="D873" s="93"/>
      <x:c r="E873" s="93"/>
      <x:c r="F873" s="93"/>
      <x:c r="G873" s="93"/>
      <x:c r="H873" s="93"/>
      <x:c r="I873" s="93"/>
      <x:c r="J873" s="93"/>
      <x:c r="K873" s="93"/>
    </x:row>
    <x:row r="874" s="92" customFormat="1" ht="7.900000095367432" customHeight="1">
      <x:c r="B874" s="93"/>
      <x:c r="C874" s="93"/>
      <x:c r="D874" s="93"/>
      <x:c r="E874" s="93"/>
      <x:c r="F874" s="93"/>
      <x:c r="G874" s="93"/>
      <x:c r="H874" s="93"/>
      <x:c r="I874" s="93"/>
      <x:c r="J874" s="93"/>
      <x:c r="K874" s="93"/>
    </x:row>
    <x:row r="875" s="92" customFormat="1" ht="7.900000095367432" customHeight="1">
      <x:c r="B875" s="93"/>
      <x:c r="C875" s="93"/>
      <x:c r="D875" s="93"/>
      <x:c r="E875" s="93"/>
      <x:c r="F875" s="93"/>
      <x:c r="G875" s="93"/>
      <x:c r="H875" s="93"/>
      <x:c r="I875" s="93"/>
      <x:c r="J875" s="93"/>
      <x:c r="K875" s="93"/>
    </x:row>
    <x:row r="876" s="92" customFormat="1" ht="7.900000095367432" customHeight="1">
      <x:c r="B876" s="93"/>
      <x:c r="C876" s="93"/>
      <x:c r="D876" s="93"/>
      <x:c r="E876" s="93"/>
      <x:c r="F876" s="93"/>
      <x:c r="G876" s="93"/>
      <x:c r="H876" s="93"/>
      <x:c r="I876" s="93"/>
      <x:c r="J876" s="93"/>
      <x:c r="K876" s="93"/>
    </x:row>
    <x:row r="877" s="92" customFormat="1" ht="7.900000095367432" customHeight="1">
      <x:c r="B877" s="93"/>
      <x:c r="C877" s="93"/>
      <x:c r="D877" s="93"/>
      <x:c r="E877" s="93"/>
      <x:c r="F877" s="93"/>
      <x:c r="G877" s="93"/>
      <x:c r="H877" s="93"/>
      <x:c r="I877" s="93"/>
      <x:c r="J877" s="93"/>
      <x:c r="K877" s="93"/>
    </x:row>
    <x:row r="878" s="92" customFormat="1" ht="7.900000095367432" customHeight="1">
      <x:c r="B878" s="93"/>
      <x:c r="C878" s="93"/>
      <x:c r="D878" s="93"/>
      <x:c r="E878" s="93"/>
      <x:c r="F878" s="93"/>
      <x:c r="G878" s="93"/>
      <x:c r="H878" s="93"/>
      <x:c r="I878" s="93"/>
      <x:c r="J878" s="93"/>
      <x:c r="K878" s="93"/>
    </x:row>
    <x:row r="879" s="92" customFormat="1" ht="7.900000095367432" customHeight="1">
      <x:c r="B879" s="93"/>
      <x:c r="C879" s="93"/>
      <x:c r="D879" s="93"/>
      <x:c r="E879" s="93"/>
      <x:c r="F879" s="93"/>
      <x:c r="G879" s="93"/>
      <x:c r="H879" s="93"/>
      <x:c r="I879" s="93"/>
      <x:c r="J879" s="93"/>
      <x:c r="K879" s="93"/>
    </x:row>
    <x:row r="880" s="92" customFormat="1" ht="7.900000095367432" customHeight="1">
      <x:c r="B880" s="93"/>
      <x:c r="C880" s="93"/>
      <x:c r="D880" s="93"/>
      <x:c r="E880" s="93"/>
      <x:c r="F880" s="93"/>
      <x:c r="G880" s="93"/>
      <x:c r="H880" s="93"/>
      <x:c r="I880" s="93"/>
      <x:c r="J880" s="93"/>
      <x:c r="K880" s="93"/>
    </x:row>
    <x:row r="881" s="92" customFormat="1" ht="7.900000095367432" customHeight="1">
      <x:c r="B881" s="93"/>
      <x:c r="C881" s="93"/>
      <x:c r="D881" s="93"/>
      <x:c r="E881" s="93"/>
      <x:c r="F881" s="93"/>
      <x:c r="G881" s="93"/>
      <x:c r="H881" s="93"/>
      <x:c r="I881" s="93"/>
      <x:c r="J881" s="93"/>
      <x:c r="K881" s="93"/>
    </x:row>
    <x:row r="882" s="92" customFormat="1" ht="7.900000095367432" customHeight="1">
      <x:c r="B882" s="93"/>
      <x:c r="C882" s="93"/>
      <x:c r="D882" s="93"/>
      <x:c r="E882" s="93"/>
      <x:c r="F882" s="93"/>
      <x:c r="G882" s="93"/>
      <x:c r="H882" s="93"/>
      <x:c r="I882" s="93"/>
      <x:c r="J882" s="93"/>
      <x:c r="K882" s="93"/>
    </x:row>
    <x:row r="883" s="92" customFormat="1" ht="7.900000095367432" customHeight="1">
      <x:c r="B883" s="93"/>
      <x:c r="C883" s="93"/>
      <x:c r="D883" s="93"/>
      <x:c r="E883" s="93"/>
      <x:c r="F883" s="93"/>
      <x:c r="G883" s="93"/>
      <x:c r="H883" s="93"/>
      <x:c r="I883" s="93"/>
      <x:c r="J883" s="93"/>
      <x:c r="K883" s="93"/>
    </x:row>
    <x:row r="884" s="92" customFormat="1" ht="7.900000095367432" customHeight="1">
      <x:c r="B884" s="93"/>
      <x:c r="C884" s="93"/>
      <x:c r="D884" s="93"/>
      <x:c r="E884" s="93"/>
      <x:c r="F884" s="93"/>
      <x:c r="G884" s="93"/>
      <x:c r="H884" s="93"/>
      <x:c r="I884" s="93"/>
      <x:c r="J884" s="93"/>
      <x:c r="K884" s="93"/>
    </x:row>
    <x:row r="885" s="92" customFormat="1" ht="7.900000095367432" customHeight="1">
      <x:c r="B885" s="93"/>
      <x:c r="C885" s="93"/>
      <x:c r="D885" s="93"/>
      <x:c r="E885" s="93"/>
      <x:c r="F885" s="93"/>
      <x:c r="G885" s="93"/>
      <x:c r="H885" s="93"/>
      <x:c r="I885" s="93"/>
      <x:c r="J885" s="93"/>
      <x:c r="K885" s="93"/>
    </x:row>
    <x:row r="886" s="92" customFormat="1" ht="7.900000095367432" customHeight="1">
      <x:c r="B886" s="93"/>
      <x:c r="C886" s="93"/>
      <x:c r="D886" s="93"/>
      <x:c r="E886" s="93"/>
      <x:c r="F886" s="93"/>
      <x:c r="G886" s="93"/>
      <x:c r="H886" s="93"/>
      <x:c r="I886" s="93"/>
      <x:c r="J886" s="93"/>
      <x:c r="K886" s="93"/>
    </x:row>
    <x:row r="887" s="92" customFormat="1" ht="7.900000095367432" customHeight="1">
      <x:c r="B887" s="93"/>
      <x:c r="C887" s="93"/>
      <x:c r="D887" s="93"/>
      <x:c r="E887" s="93"/>
      <x:c r="F887" s="93"/>
      <x:c r="G887" s="93"/>
      <x:c r="H887" s="93"/>
      <x:c r="I887" s="93"/>
      <x:c r="J887" s="93"/>
      <x:c r="K887" s="93"/>
    </x:row>
    <x:row r="888" s="92" customFormat="1" ht="7.900000095367432" customHeight="1">
      <x:c r="B888" s="93"/>
      <x:c r="C888" s="93"/>
      <x:c r="D888" s="93"/>
      <x:c r="E888" s="93"/>
      <x:c r="F888" s="93"/>
      <x:c r="G888" s="93"/>
      <x:c r="H888" s="93"/>
      <x:c r="I888" s="93"/>
      <x:c r="J888" s="93"/>
      <x:c r="K888" s="93"/>
    </x:row>
    <x:row r="889" s="92" customFormat="1" ht="7.900000095367432" customHeight="1">
      <x:c r="B889" s="93"/>
      <x:c r="C889" s="93"/>
      <x:c r="D889" s="93"/>
      <x:c r="E889" s="93"/>
      <x:c r="F889" s="93"/>
      <x:c r="G889" s="93"/>
      <x:c r="H889" s="93"/>
      <x:c r="I889" s="93"/>
      <x:c r="J889" s="93"/>
      <x:c r="K889" s="93"/>
    </x:row>
    <x:row r="890" s="92" customFormat="1" ht="7.900000095367432" customHeight="1">
      <x:c r="B890" s="93"/>
      <x:c r="C890" s="93"/>
      <x:c r="D890" s="93"/>
      <x:c r="E890" s="93"/>
      <x:c r="F890" s="93"/>
      <x:c r="G890" s="93"/>
      <x:c r="H890" s="93"/>
      <x:c r="I890" s="93"/>
      <x:c r="J890" s="93"/>
      <x:c r="K890" s="93"/>
    </x:row>
    <x:row r="891" s="92" customFormat="1" ht="7.900000095367432" customHeight="1">
      <x:c r="B891" s="93"/>
      <x:c r="C891" s="93"/>
      <x:c r="D891" s="93"/>
      <x:c r="E891" s="93"/>
      <x:c r="F891" s="93"/>
      <x:c r="G891" s="93"/>
      <x:c r="H891" s="93"/>
      <x:c r="I891" s="93"/>
      <x:c r="J891" s="93"/>
      <x:c r="K891" s="93"/>
    </x:row>
    <x:row r="892" s="92" customFormat="1" ht="7.900000095367432" customHeight="1">
      <x:c r="B892" s="93"/>
      <x:c r="C892" s="93"/>
      <x:c r="D892" s="93"/>
      <x:c r="E892" s="93"/>
      <x:c r="F892" s="93"/>
      <x:c r="G892" s="93"/>
      <x:c r="H892" s="93"/>
      <x:c r="I892" s="93"/>
      <x:c r="J892" s="93"/>
      <x:c r="K892" s="93"/>
    </x:row>
    <x:row r="893" s="92" customFormat="1" ht="7.900000095367432" customHeight="1">
      <x:c r="B893" s="93"/>
      <x:c r="C893" s="93"/>
      <x:c r="D893" s="93"/>
      <x:c r="E893" s="93"/>
      <x:c r="F893" s="93"/>
      <x:c r="G893" s="93"/>
      <x:c r="H893" s="93"/>
      <x:c r="I893" s="93"/>
      <x:c r="J893" s="93"/>
      <x:c r="K893" s="93"/>
    </x:row>
    <x:row r="894" s="92" customFormat="1" ht="7.900000095367432" customHeight="1">
      <x:c r="B894" s="93"/>
      <x:c r="C894" s="93"/>
      <x:c r="D894" s="93"/>
      <x:c r="E894" s="93"/>
      <x:c r="F894" s="93"/>
      <x:c r="G894" s="93"/>
      <x:c r="H894" s="93"/>
      <x:c r="I894" s="93"/>
      <x:c r="J894" s="93"/>
      <x:c r="K894" s="93"/>
    </x:row>
    <x:row r="895" s="92" customFormat="1" ht="7.900000095367432" customHeight="1">
      <x:c r="B895" s="93"/>
      <x:c r="C895" s="93"/>
      <x:c r="D895" s="93"/>
      <x:c r="E895" s="93"/>
      <x:c r="F895" s="93"/>
      <x:c r="G895" s="93"/>
      <x:c r="H895" s="93"/>
      <x:c r="I895" s="93"/>
      <x:c r="J895" s="93"/>
      <x:c r="K895" s="93"/>
    </x:row>
    <x:row r="896" s="92" customFormat="1" ht="7.900000095367432" customHeight="1">
      <x:c r="B896" s="93"/>
      <x:c r="C896" s="93"/>
      <x:c r="D896" s="93"/>
      <x:c r="E896" s="93"/>
      <x:c r="F896" s="93"/>
      <x:c r="G896" s="93"/>
      <x:c r="H896" s="93"/>
      <x:c r="I896" s="93"/>
      <x:c r="J896" s="93"/>
      <x:c r="K896" s="93"/>
    </x:row>
    <x:row r="897" s="92" customFormat="1" ht="7.900000095367432" customHeight="1">
      <x:c r="B897" s="93"/>
      <x:c r="C897" s="93"/>
      <x:c r="D897" s="93"/>
      <x:c r="E897" s="93"/>
      <x:c r="F897" s="93"/>
      <x:c r="G897" s="93"/>
      <x:c r="H897" s="93"/>
      <x:c r="I897" s="93"/>
      <x:c r="J897" s="93"/>
      <x:c r="K897" s="93"/>
    </x:row>
    <x:row r="898" s="92" customFormat="1" ht="7.900000095367432" customHeight="1">
      <x:c r="B898" s="93"/>
      <x:c r="C898" s="93"/>
      <x:c r="D898" s="93"/>
      <x:c r="E898" s="93"/>
      <x:c r="F898" s="93"/>
      <x:c r="G898" s="93"/>
      <x:c r="H898" s="93"/>
      <x:c r="I898" s="93"/>
      <x:c r="J898" s="93"/>
      <x:c r="K898" s="93"/>
    </x:row>
    <x:row r="899" s="92" customFormat="1" ht="7.900000095367432" customHeight="1">
      <x:c r="B899" s="93"/>
      <x:c r="C899" s="93"/>
      <x:c r="D899" s="93"/>
      <x:c r="E899" s="93"/>
      <x:c r="F899" s="93"/>
      <x:c r="G899" s="93"/>
      <x:c r="H899" s="93"/>
      <x:c r="I899" s="93"/>
      <x:c r="J899" s="93"/>
      <x:c r="K899" s="93"/>
    </x:row>
    <x:row r="900" s="92" customFormat="1" ht="7.900000095367432" customHeight="1">
      <x:c r="B900" s="93"/>
      <x:c r="C900" s="93"/>
      <x:c r="D900" s="93"/>
      <x:c r="E900" s="93"/>
      <x:c r="F900" s="93"/>
      <x:c r="G900" s="93"/>
      <x:c r="H900" s="93"/>
      <x:c r="I900" s="93"/>
      <x:c r="J900" s="93"/>
      <x:c r="K900" s="93"/>
    </x:row>
    <x:row r="901" s="92" customFormat="1" ht="7.900000095367432" customHeight="1">
      <x:c r="B901" s="93"/>
      <x:c r="C901" s="93"/>
      <x:c r="D901" s="93"/>
      <x:c r="E901" s="93"/>
      <x:c r="F901" s="93"/>
      <x:c r="G901" s="93"/>
      <x:c r="H901" s="93"/>
      <x:c r="I901" s="93"/>
      <x:c r="J901" s="93"/>
      <x:c r="K901" s="93"/>
    </x:row>
    <x:row r="902" s="92" customFormat="1" ht="7.900000095367432" customHeight="1">
      <x:c r="B902" s="93"/>
      <x:c r="C902" s="93"/>
      <x:c r="D902" s="93"/>
      <x:c r="E902" s="93"/>
      <x:c r="F902" s="93"/>
      <x:c r="G902" s="93"/>
      <x:c r="H902" s="93"/>
      <x:c r="I902" s="93"/>
      <x:c r="J902" s="93"/>
      <x:c r="K902" s="93"/>
    </x:row>
    <x:row r="903" s="92" customFormat="1" ht="7.900000095367432" customHeight="1">
      <x:c r="B903" s="93"/>
      <x:c r="C903" s="93"/>
      <x:c r="D903" s="93"/>
      <x:c r="E903" s="93"/>
      <x:c r="F903" s="93"/>
      <x:c r="G903" s="93"/>
      <x:c r="H903" s="93"/>
      <x:c r="I903" s="93"/>
      <x:c r="J903" s="93"/>
      <x:c r="K903" s="93"/>
    </x:row>
    <x:row r="904" s="92" customFormat="1" ht="7.900000095367432" customHeight="1">
      <x:c r="B904" s="93"/>
      <x:c r="C904" s="93"/>
      <x:c r="D904" s="93"/>
      <x:c r="E904" s="93"/>
      <x:c r="F904" s="93"/>
      <x:c r="G904" s="93"/>
      <x:c r="H904" s="93"/>
      <x:c r="I904" s="93"/>
      <x:c r="J904" s="93"/>
      <x:c r="K904" s="93"/>
    </x:row>
    <x:row r="905" s="92" customFormat="1" ht="7.900000095367432" customHeight="1">
      <x:c r="B905" s="93"/>
      <x:c r="C905" s="93"/>
      <x:c r="D905" s="93"/>
      <x:c r="E905" s="93"/>
      <x:c r="F905" s="93"/>
      <x:c r="G905" s="93"/>
      <x:c r="H905" s="93"/>
      <x:c r="I905" s="93"/>
      <x:c r="J905" s="93"/>
      <x:c r="K905" s="93"/>
    </x:row>
    <x:row r="906" s="92" customFormat="1" ht="7.900000095367432" customHeight="1">
      <x:c r="B906" s="93"/>
      <x:c r="C906" s="93"/>
      <x:c r="D906" s="93"/>
      <x:c r="E906" s="93"/>
      <x:c r="F906" s="93"/>
      <x:c r="G906" s="93"/>
      <x:c r="H906" s="93"/>
      <x:c r="I906" s="93"/>
      <x:c r="J906" s="93"/>
      <x:c r="K906" s="93"/>
    </x:row>
    <x:row r="907" s="92" customFormat="1" ht="7.900000095367432" customHeight="1">
      <x:c r="B907" s="93"/>
      <x:c r="C907" s="93"/>
      <x:c r="D907" s="93"/>
      <x:c r="E907" s="93"/>
      <x:c r="F907" s="93"/>
      <x:c r="G907" s="93"/>
      <x:c r="H907" s="93"/>
      <x:c r="I907" s="93"/>
      <x:c r="J907" s="93"/>
      <x:c r="K907" s="93"/>
    </x:row>
    <x:row r="908" s="92" customFormat="1" ht="7.900000095367432" customHeight="1">
      <x:c r="B908" s="93"/>
      <x:c r="C908" s="93"/>
      <x:c r="D908" s="93"/>
      <x:c r="E908" s="93"/>
      <x:c r="F908" s="93"/>
      <x:c r="G908" s="93"/>
      <x:c r="H908" s="93"/>
      <x:c r="I908" s="93"/>
      <x:c r="J908" s="93"/>
      <x:c r="K908" s="93"/>
    </x:row>
    <x:row r="909" s="92" customFormat="1" ht="7.900000095367432" customHeight="1">
      <x:c r="B909" s="93"/>
      <x:c r="C909" s="93"/>
      <x:c r="D909" s="93"/>
      <x:c r="E909" s="93"/>
      <x:c r="F909" s="93"/>
      <x:c r="G909" s="93"/>
      <x:c r="H909" s="93"/>
      <x:c r="I909" s="93"/>
      <x:c r="J909" s="93"/>
      <x:c r="K909" s="93"/>
    </x:row>
    <x:row r="910" s="92" customFormat="1" ht="7.900000095367432" customHeight="1">
      <x:c r="B910" s="93"/>
      <x:c r="C910" s="93"/>
      <x:c r="D910" s="93"/>
      <x:c r="E910" s="93"/>
      <x:c r="F910" s="93"/>
      <x:c r="G910" s="93"/>
      <x:c r="H910" s="93"/>
      <x:c r="I910" s="93"/>
      <x:c r="J910" s="93"/>
      <x:c r="K910" s="93"/>
    </x:row>
    <x:row r="911" s="92" customFormat="1" ht="7.900000095367432" customHeight="1">
      <x:c r="B911" s="93"/>
      <x:c r="C911" s="93"/>
      <x:c r="D911" s="93"/>
      <x:c r="E911" s="93"/>
      <x:c r="F911" s="93"/>
      <x:c r="G911" s="93"/>
      <x:c r="H911" s="93"/>
      <x:c r="I911" s="93"/>
      <x:c r="J911" s="93"/>
      <x:c r="K911" s="93"/>
    </x:row>
    <x:row r="912" s="92" customFormat="1" ht="7.900000095367432" customHeight="1">
      <x:c r="B912" s="93"/>
      <x:c r="C912" s="93"/>
      <x:c r="D912" s="93"/>
      <x:c r="E912" s="93"/>
      <x:c r="F912" s="93"/>
      <x:c r="G912" s="93"/>
      <x:c r="H912" s="93"/>
      <x:c r="I912" s="93"/>
      <x:c r="J912" s="93"/>
      <x:c r="K912" s="93"/>
    </x:row>
    <x:row r="913" s="92" customFormat="1" ht="7.900000095367432" customHeight="1">
      <x:c r="B913" s="93"/>
      <x:c r="C913" s="93"/>
      <x:c r="D913" s="93"/>
      <x:c r="E913" s="93"/>
      <x:c r="F913" s="93"/>
      <x:c r="G913" s="93"/>
      <x:c r="H913" s="93"/>
      <x:c r="I913" s="93"/>
      <x:c r="J913" s="93"/>
      <x:c r="K913" s="93"/>
    </x:row>
    <x:row r="914" s="92" customFormat="1" ht="7.900000095367432" customHeight="1">
      <x:c r="B914" s="93"/>
      <x:c r="C914" s="93"/>
      <x:c r="D914" s="93"/>
      <x:c r="E914" s="93"/>
      <x:c r="F914" s="93"/>
      <x:c r="G914" s="93"/>
      <x:c r="H914" s="93"/>
      <x:c r="I914" s="93"/>
      <x:c r="J914" s="93"/>
      <x:c r="K914" s="93"/>
    </x:row>
    <x:row r="915" s="92" customFormat="1" ht="7.900000095367432" customHeight="1">
      <x:c r="B915" s="93"/>
      <x:c r="C915" s="93"/>
      <x:c r="D915" s="93"/>
      <x:c r="E915" s="93"/>
      <x:c r="F915" s="93"/>
      <x:c r="G915" s="93"/>
      <x:c r="H915" s="93"/>
      <x:c r="I915" s="93"/>
      <x:c r="J915" s="93"/>
      <x:c r="K915" s="93"/>
    </x:row>
    <x:row r="916" s="92" customFormat="1" ht="7.900000095367432" customHeight="1">
      <x:c r="B916" s="93"/>
      <x:c r="C916" s="93"/>
      <x:c r="D916" s="93"/>
      <x:c r="E916" s="93"/>
      <x:c r="F916" s="93"/>
      <x:c r="G916" s="93"/>
      <x:c r="H916" s="93"/>
      <x:c r="I916" s="93"/>
      <x:c r="J916" s="93"/>
      <x:c r="K916" s="93"/>
    </x:row>
    <x:row r="917" s="92" customFormat="1" ht="7.900000095367432" customHeight="1">
      <x:c r="B917" s="93"/>
      <x:c r="C917" s="93"/>
      <x:c r="D917" s="93"/>
      <x:c r="E917" s="93"/>
      <x:c r="F917" s="93"/>
      <x:c r="G917" s="93"/>
      <x:c r="H917" s="93"/>
      <x:c r="I917" s="93"/>
      <x:c r="J917" s="93"/>
      <x:c r="K917" s="93"/>
    </x:row>
    <x:row r="918" s="92" customFormat="1" ht="7.900000095367432" customHeight="1">
      <x:c r="B918" s="93"/>
      <x:c r="C918" s="93"/>
      <x:c r="D918" s="93"/>
      <x:c r="E918" s="93"/>
      <x:c r="F918" s="93"/>
      <x:c r="G918" s="93"/>
      <x:c r="H918" s="93"/>
      <x:c r="I918" s="93"/>
      <x:c r="J918" s="93"/>
      <x:c r="K918" s="93"/>
    </x:row>
    <x:row r="919" s="92" customFormat="1" ht="7.900000095367432" customHeight="1">
      <x:c r="B919" s="93"/>
      <x:c r="C919" s="93"/>
      <x:c r="D919" s="93"/>
      <x:c r="E919" s="93"/>
      <x:c r="F919" s="93"/>
      <x:c r="G919" s="93"/>
      <x:c r="H919" s="93"/>
      <x:c r="I919" s="93"/>
      <x:c r="J919" s="93"/>
      <x:c r="K919" s="93"/>
    </x:row>
    <x:row r="920" s="92" customFormat="1" ht="7.900000095367432" customHeight="1">
      <x:c r="B920" s="93"/>
      <x:c r="C920" s="93"/>
      <x:c r="D920" s="93"/>
      <x:c r="E920" s="93"/>
      <x:c r="F920" s="93"/>
      <x:c r="G920" s="93"/>
      <x:c r="H920" s="93"/>
      <x:c r="I920" s="93"/>
      <x:c r="J920" s="93"/>
      <x:c r="K920" s="93"/>
    </x:row>
    <x:row r="921" s="92" customFormat="1" ht="7.900000095367432" customHeight="1">
      <x:c r="B921" s="93"/>
      <x:c r="C921" s="93"/>
      <x:c r="D921" s="93"/>
      <x:c r="E921" s="93"/>
      <x:c r="F921" s="93"/>
      <x:c r="G921" s="93"/>
      <x:c r="H921" s="93"/>
      <x:c r="I921" s="93"/>
      <x:c r="J921" s="93"/>
      <x:c r="K921" s="93"/>
    </x:row>
    <x:row r="922" s="92" customFormat="1" ht="7.900000095367432" customHeight="1">
      <x:c r="B922" s="93"/>
      <x:c r="C922" s="93"/>
      <x:c r="D922" s="93"/>
      <x:c r="E922" s="93"/>
      <x:c r="F922" s="93"/>
      <x:c r="G922" s="93"/>
      <x:c r="H922" s="93"/>
      <x:c r="I922" s="93"/>
      <x:c r="J922" s="93"/>
      <x:c r="K922" s="93"/>
    </x:row>
    <x:row r="923" s="92" customFormat="1" ht="7.900000095367432" customHeight="1">
      <x:c r="B923" s="93"/>
      <x:c r="C923" s="93"/>
      <x:c r="D923" s="93"/>
      <x:c r="E923" s="93"/>
      <x:c r="F923" s="93"/>
      <x:c r="G923" s="93"/>
      <x:c r="H923" s="93"/>
      <x:c r="I923" s="93"/>
      <x:c r="J923" s="93"/>
      <x:c r="K923" s="93"/>
    </x:row>
    <x:row r="924" s="92" customFormat="1" ht="7.900000095367432" customHeight="1">
      <x:c r="B924" s="93"/>
      <x:c r="C924" s="93"/>
      <x:c r="D924" s="93"/>
      <x:c r="E924" s="93"/>
      <x:c r="F924" s="93"/>
      <x:c r="G924" s="93"/>
      <x:c r="H924" s="93"/>
      <x:c r="I924" s="93"/>
      <x:c r="J924" s="93"/>
      <x:c r="K924" s="93"/>
    </x:row>
    <x:row r="925" s="92" customFormat="1" ht="7.900000095367432" customHeight="1">
      <x:c r="B925" s="93"/>
      <x:c r="C925" s="93"/>
      <x:c r="D925" s="93"/>
      <x:c r="E925" s="93"/>
      <x:c r="F925" s="93"/>
      <x:c r="G925" s="93"/>
      <x:c r="H925" s="93"/>
      <x:c r="I925" s="93"/>
      <x:c r="J925" s="93"/>
      <x:c r="K925" s="93"/>
    </x:row>
    <x:row r="926" s="92" customFormat="1" ht="7.900000095367432" customHeight="1">
      <x:c r="B926" s="93"/>
      <x:c r="C926" s="93"/>
      <x:c r="D926" s="93"/>
      <x:c r="E926" s="93"/>
      <x:c r="F926" s="93"/>
      <x:c r="G926" s="93"/>
      <x:c r="H926" s="93"/>
      <x:c r="I926" s="93"/>
      <x:c r="J926" s="93"/>
      <x:c r="K926" s="93"/>
    </x:row>
    <x:row r="927" s="92" customFormat="1" ht="7.900000095367432" customHeight="1">
      <x:c r="B927" s="93"/>
      <x:c r="C927" s="93"/>
      <x:c r="D927" s="93"/>
      <x:c r="E927" s="93"/>
      <x:c r="F927" s="93"/>
      <x:c r="G927" s="93"/>
      <x:c r="H927" s="93"/>
      <x:c r="I927" s="93"/>
      <x:c r="J927" s="93"/>
      <x:c r="K927" s="93"/>
    </x:row>
    <x:row r="928" s="92" customFormat="1" ht="7.900000095367432" customHeight="1">
      <x:c r="B928" s="93"/>
      <x:c r="C928" s="93"/>
      <x:c r="D928" s="93"/>
      <x:c r="E928" s="93"/>
      <x:c r="F928" s="93"/>
      <x:c r="G928" s="93"/>
      <x:c r="H928" s="93"/>
      <x:c r="I928" s="93"/>
      <x:c r="J928" s="93"/>
      <x:c r="K928" s="93"/>
    </x:row>
    <x:row r="929" s="92" customFormat="1" ht="7.900000095367432" customHeight="1">
      <x:c r="B929" s="93"/>
      <x:c r="C929" s="93"/>
      <x:c r="D929" s="93"/>
      <x:c r="E929" s="93"/>
      <x:c r="F929" s="93"/>
      <x:c r="G929" s="93"/>
      <x:c r="H929" s="93"/>
      <x:c r="I929" s="93"/>
      <x:c r="J929" s="93"/>
      <x:c r="K929" s="93"/>
    </x:row>
    <x:row r="930" s="92" customFormat="1" ht="7.900000095367432" customHeight="1">
      <x:c r="B930" s="93"/>
      <x:c r="C930" s="93"/>
      <x:c r="D930" s="93"/>
      <x:c r="E930" s="93"/>
      <x:c r="F930" s="93"/>
      <x:c r="G930" s="93"/>
      <x:c r="H930" s="93"/>
      <x:c r="I930" s="93"/>
      <x:c r="J930" s="93"/>
      <x:c r="K930" s="93"/>
    </x:row>
    <x:row r="931" s="92" customFormat="1" ht="7.900000095367432" customHeight="1">
      <x:c r="B931" s="93"/>
      <x:c r="C931" s="93"/>
      <x:c r="D931" s="93"/>
      <x:c r="E931" s="93"/>
      <x:c r="F931" s="93"/>
      <x:c r="G931" s="93"/>
      <x:c r="H931" s="93"/>
      <x:c r="I931" s="93"/>
      <x:c r="J931" s="93"/>
      <x:c r="K931" s="93"/>
    </x:row>
    <x:row r="932" s="92" customFormat="1" ht="7.900000095367432" customHeight="1">
      <x:c r="B932" s="93"/>
      <x:c r="C932" s="93"/>
      <x:c r="D932" s="93"/>
      <x:c r="E932" s="93"/>
      <x:c r="F932" s="93"/>
      <x:c r="G932" s="93"/>
      <x:c r="H932" s="93"/>
      <x:c r="I932" s="93"/>
      <x:c r="J932" s="93"/>
      <x:c r="K932" s="93"/>
    </x:row>
    <x:row r="933" s="92" customFormat="1" ht="7.900000095367432" customHeight="1">
      <x:c r="B933" s="93"/>
      <x:c r="C933" s="93"/>
      <x:c r="D933" s="93"/>
      <x:c r="E933" s="93"/>
      <x:c r="F933" s="93"/>
      <x:c r="G933" s="93"/>
      <x:c r="H933" s="93"/>
      <x:c r="I933" s="93"/>
      <x:c r="J933" s="93"/>
      <x:c r="K933" s="93"/>
    </x:row>
    <x:row r="934" s="92" customFormat="1" ht="7.900000095367432" customHeight="1">
      <x:c r="B934" s="93"/>
      <x:c r="C934" s="93"/>
      <x:c r="D934" s="93"/>
      <x:c r="E934" s="93"/>
      <x:c r="F934" s="93"/>
      <x:c r="G934" s="93"/>
      <x:c r="H934" s="93"/>
      <x:c r="I934" s="93"/>
      <x:c r="J934" s="93"/>
      <x:c r="K934" s="93"/>
    </x:row>
    <x:row r="935" s="92" customFormat="1" ht="7.900000095367432" customHeight="1">
      <x:c r="B935" s="93"/>
      <x:c r="C935" s="93"/>
      <x:c r="D935" s="93"/>
      <x:c r="E935" s="93"/>
      <x:c r="F935" s="93"/>
      <x:c r="G935" s="93"/>
      <x:c r="H935" s="93"/>
      <x:c r="I935" s="93"/>
      <x:c r="J935" s="93"/>
      <x:c r="K935" s="93"/>
    </x:row>
    <x:row r="936" s="92" customFormat="1" ht="7.900000095367432" customHeight="1">
      <x:c r="B936" s="93"/>
      <x:c r="C936" s="93"/>
      <x:c r="D936" s="93"/>
      <x:c r="E936" s="93"/>
      <x:c r="F936" s="93"/>
      <x:c r="G936" s="93"/>
      <x:c r="H936" s="93"/>
      <x:c r="I936" s="93"/>
      <x:c r="J936" s="93"/>
      <x:c r="K936" s="93"/>
    </x:row>
    <x:row r="937" s="92" customFormat="1" ht="7.900000095367432" customHeight="1">
      <x:c r="B937" s="93"/>
      <x:c r="C937" s="93"/>
      <x:c r="D937" s="93"/>
      <x:c r="E937" s="93"/>
      <x:c r="F937" s="93"/>
      <x:c r="G937" s="93"/>
      <x:c r="H937" s="93"/>
      <x:c r="I937" s="93"/>
      <x:c r="J937" s="93"/>
      <x:c r="K937" s="93"/>
    </x:row>
    <x:row r="938" s="92" customFormat="1" ht="7.900000095367432" customHeight="1">
      <x:c r="B938" s="93"/>
      <x:c r="C938" s="93"/>
      <x:c r="D938" s="93"/>
      <x:c r="E938" s="93"/>
      <x:c r="F938" s="93"/>
      <x:c r="G938" s="93"/>
      <x:c r="H938" s="93"/>
      <x:c r="I938" s="93"/>
      <x:c r="J938" s="93"/>
      <x:c r="K938" s="93"/>
    </x:row>
    <x:row r="939" s="92" customFormat="1" ht="7.900000095367432" customHeight="1">
      <x:c r="B939" s="93"/>
      <x:c r="C939" s="93"/>
      <x:c r="D939" s="93"/>
      <x:c r="E939" s="93"/>
      <x:c r="F939" s="93"/>
      <x:c r="G939" s="93"/>
      <x:c r="H939" s="93"/>
      <x:c r="I939" s="93"/>
      <x:c r="J939" s="93"/>
      <x:c r="K939" s="93"/>
    </x:row>
    <x:row r="940" s="92" customFormat="1" ht="7.900000095367432" customHeight="1">
      <x:c r="B940" s="93"/>
      <x:c r="C940" s="93"/>
      <x:c r="D940" s="93"/>
      <x:c r="E940" s="93"/>
      <x:c r="F940" s="93"/>
      <x:c r="G940" s="93"/>
      <x:c r="H940" s="93"/>
      <x:c r="I940" s="93"/>
      <x:c r="J940" s="93"/>
      <x:c r="K940" s="93"/>
    </x:row>
    <x:row r="941" s="92" customFormat="1" ht="7.900000095367432" customHeight="1">
      <x:c r="B941" s="93"/>
      <x:c r="C941" s="93"/>
      <x:c r="D941" s="93"/>
      <x:c r="E941" s="93"/>
      <x:c r="F941" s="93"/>
      <x:c r="G941" s="93"/>
      <x:c r="H941" s="93"/>
      <x:c r="I941" s="93"/>
      <x:c r="J941" s="93"/>
      <x:c r="K941" s="93"/>
    </x:row>
    <x:row r="942" s="92" customFormat="1" ht="7.900000095367432" customHeight="1">
      <x:c r="B942" s="93"/>
      <x:c r="C942" s="93"/>
      <x:c r="D942" s="93"/>
      <x:c r="E942" s="93"/>
      <x:c r="F942" s="93"/>
      <x:c r="G942" s="93"/>
      <x:c r="H942" s="93"/>
      <x:c r="I942" s="93"/>
      <x:c r="J942" s="93"/>
      <x:c r="K942" s="93"/>
    </x:row>
    <x:row r="943" s="92" customFormat="1" ht="7.900000095367432" customHeight="1">
      <x:c r="B943" s="93"/>
      <x:c r="C943" s="93"/>
      <x:c r="D943" s="93"/>
      <x:c r="E943" s="93"/>
      <x:c r="F943" s="93"/>
      <x:c r="G943" s="93"/>
      <x:c r="H943" s="93"/>
      <x:c r="I943" s="93"/>
      <x:c r="J943" s="93"/>
      <x:c r="K943" s="93"/>
    </x:row>
    <x:row r="944" s="92" customFormat="1" ht="7.900000095367432" customHeight="1">
      <x:c r="B944" s="93"/>
      <x:c r="C944" s="93"/>
      <x:c r="D944" s="93"/>
      <x:c r="E944" s="93"/>
      <x:c r="F944" s="93"/>
      <x:c r="G944" s="93"/>
      <x:c r="H944" s="93"/>
      <x:c r="I944" s="93"/>
      <x:c r="J944" s="93"/>
      <x:c r="K944" s="93"/>
    </x:row>
    <x:row r="945" s="92" customFormat="1" ht="7.900000095367432" customHeight="1">
      <x:c r="B945" s="93"/>
      <x:c r="C945" s="93"/>
      <x:c r="D945" s="93"/>
      <x:c r="E945" s="93"/>
      <x:c r="F945" s="93"/>
      <x:c r="G945" s="93"/>
      <x:c r="H945" s="93"/>
      <x:c r="I945" s="93"/>
      <x:c r="J945" s="93"/>
      <x:c r="K945" s="93"/>
    </x:row>
    <x:row r="946" s="92" customFormat="1" ht="7.900000095367432" customHeight="1">
      <x:c r="B946" s="93"/>
      <x:c r="C946" s="93"/>
      <x:c r="D946" s="93"/>
      <x:c r="E946" s="93"/>
      <x:c r="F946" s="93"/>
      <x:c r="G946" s="93"/>
      <x:c r="H946" s="93"/>
      <x:c r="I946" s="93"/>
      <x:c r="J946" s="93"/>
      <x:c r="K946" s="93"/>
    </x:row>
    <x:row r="947" s="92" customFormat="1" ht="7.900000095367432" customHeight="1">
      <x:c r="B947" s="93"/>
      <x:c r="C947" s="93"/>
      <x:c r="D947" s="93"/>
      <x:c r="E947" s="93"/>
      <x:c r="F947" s="93"/>
      <x:c r="G947" s="93"/>
      <x:c r="H947" s="93"/>
      <x:c r="I947" s="93"/>
      <x:c r="J947" s="93"/>
      <x:c r="K947" s="93"/>
    </x:row>
    <x:row r="948" s="92" customFormat="1" ht="7.900000095367432" customHeight="1">
      <x:c r="B948" s="93"/>
      <x:c r="C948" s="93"/>
      <x:c r="D948" s="93"/>
      <x:c r="E948" s="93"/>
      <x:c r="F948" s="93"/>
      <x:c r="G948" s="93"/>
      <x:c r="H948" s="93"/>
      <x:c r="I948" s="93"/>
      <x:c r="J948" s="93"/>
      <x:c r="K948" s="93"/>
    </x:row>
    <x:row r="949" s="92" customFormat="1" ht="7.900000095367432" customHeight="1">
      <x:c r="B949" s="93"/>
      <x:c r="C949" s="93"/>
      <x:c r="D949" s="93"/>
      <x:c r="E949" s="93"/>
      <x:c r="F949" s="93"/>
      <x:c r="G949" s="93"/>
      <x:c r="H949" s="93"/>
      <x:c r="I949" s="93"/>
      <x:c r="J949" s="93"/>
      <x:c r="K949" s="93"/>
    </x:row>
    <x:row r="950" s="92" customFormat="1" ht="7.900000095367432" customHeight="1">
      <x:c r="B950" s="93"/>
      <x:c r="C950" s="93"/>
      <x:c r="D950" s="93"/>
      <x:c r="E950" s="93"/>
      <x:c r="F950" s="93"/>
      <x:c r="G950" s="93"/>
      <x:c r="H950" s="93"/>
      <x:c r="I950" s="93"/>
      <x:c r="J950" s="93"/>
      <x:c r="K950" s="93"/>
    </x:row>
    <x:row r="951" s="92" customFormat="1" ht="7.900000095367432" customHeight="1">
      <x:c r="B951" s="93"/>
      <x:c r="C951" s="93"/>
      <x:c r="D951" s="93"/>
      <x:c r="E951" s="93"/>
      <x:c r="F951" s="93"/>
      <x:c r="G951" s="93"/>
      <x:c r="H951" s="93"/>
      <x:c r="I951" s="93"/>
      <x:c r="J951" s="93"/>
      <x:c r="K951" s="93"/>
    </x:row>
    <x:row r="952" s="92" customFormat="1" ht="7.900000095367432" customHeight="1">
      <x:c r="B952" s="93"/>
      <x:c r="C952" s="93"/>
      <x:c r="D952" s="93"/>
      <x:c r="E952" s="93"/>
      <x:c r="F952" s="93"/>
      <x:c r="G952" s="93"/>
      <x:c r="H952" s="93"/>
      <x:c r="I952" s="93"/>
      <x:c r="J952" s="93"/>
      <x:c r="K952" s="93"/>
    </x:row>
    <x:row r="953" s="92" customFormat="1" ht="7.900000095367432" customHeight="1">
      <x:c r="B953" s="93"/>
      <x:c r="C953" s="93"/>
      <x:c r="D953" s="93"/>
      <x:c r="E953" s="93"/>
      <x:c r="F953" s="93"/>
      <x:c r="G953" s="93"/>
      <x:c r="H953" s="93"/>
      <x:c r="I953" s="93"/>
      <x:c r="J953" s="93"/>
      <x:c r="K953" s="93"/>
    </x:row>
    <x:row r="954" s="92" customFormat="1" ht="7.900000095367432" customHeight="1">
      <x:c r="B954" s="93"/>
      <x:c r="C954" s="93"/>
      <x:c r="D954" s="93"/>
      <x:c r="E954" s="93"/>
      <x:c r="F954" s="93"/>
      <x:c r="G954" s="93"/>
      <x:c r="H954" s="93"/>
      <x:c r="I954" s="93"/>
      <x:c r="J954" s="93"/>
      <x:c r="K954" s="93"/>
    </x:row>
    <x:row r="955" s="92" customFormat="1" ht="7.900000095367432" customHeight="1">
      <x:c r="B955" s="93"/>
      <x:c r="C955" s="93"/>
      <x:c r="D955" s="93"/>
      <x:c r="E955" s="93"/>
      <x:c r="F955" s="93"/>
      <x:c r="G955" s="93"/>
      <x:c r="H955" s="93"/>
      <x:c r="I955" s="93"/>
      <x:c r="J955" s="93"/>
      <x:c r="K955" s="93"/>
    </x:row>
    <x:row r="956" s="92" customFormat="1" ht="7.900000095367432" customHeight="1">
      <x:c r="B956" s="93"/>
      <x:c r="C956" s="93"/>
      <x:c r="D956" s="93"/>
      <x:c r="E956" s="93"/>
      <x:c r="F956" s="93"/>
      <x:c r="G956" s="93"/>
      <x:c r="H956" s="93"/>
      <x:c r="I956" s="93"/>
      <x:c r="J956" s="93"/>
      <x:c r="K956" s="93"/>
    </x:row>
    <x:row r="957" s="92" customFormat="1" ht="7.900000095367432" customHeight="1">
      <x:c r="B957" s="93"/>
      <x:c r="C957" s="93"/>
      <x:c r="D957" s="93"/>
      <x:c r="E957" s="93"/>
      <x:c r="F957" s="93"/>
      <x:c r="G957" s="93"/>
      <x:c r="H957" s="93"/>
      <x:c r="I957" s="93"/>
      <x:c r="J957" s="93"/>
      <x:c r="K957" s="93"/>
    </x:row>
    <x:row r="958" s="92" customFormat="1" ht="7.900000095367432" customHeight="1">
      <x:c r="B958" s="93"/>
      <x:c r="C958" s="93"/>
      <x:c r="D958" s="93"/>
      <x:c r="E958" s="93"/>
      <x:c r="F958" s="93"/>
      <x:c r="G958" s="93"/>
      <x:c r="H958" s="93"/>
      <x:c r="I958" s="93"/>
      <x:c r="J958" s="93"/>
      <x:c r="K958" s="93"/>
    </x:row>
    <x:row r="959" s="92" customFormat="1" ht="7.900000095367432" customHeight="1">
      <x:c r="B959" s="93"/>
      <x:c r="C959" s="93"/>
      <x:c r="D959" s="93"/>
      <x:c r="E959" s="93"/>
      <x:c r="F959" s="93"/>
      <x:c r="G959" s="93"/>
      <x:c r="H959" s="93"/>
      <x:c r="I959" s="93"/>
      <x:c r="J959" s="93"/>
      <x:c r="K959" s="93"/>
    </x:row>
    <x:row r="960" s="92" customFormat="1" ht="7.900000095367432" customHeight="1">
      <x:c r="B960" s="93"/>
      <x:c r="C960" s="93"/>
      <x:c r="D960" s="93"/>
      <x:c r="E960" s="93"/>
      <x:c r="F960" s="93"/>
      <x:c r="G960" s="93"/>
      <x:c r="H960" s="93"/>
      <x:c r="I960" s="93"/>
      <x:c r="J960" s="93"/>
      <x:c r="K960" s="93"/>
    </x:row>
    <x:row r="961" s="92" customFormat="1" ht="7.900000095367432" customHeight="1">
      <x:c r="B961" s="93"/>
      <x:c r="C961" s="93"/>
      <x:c r="D961" s="93"/>
      <x:c r="E961" s="93"/>
      <x:c r="F961" s="93"/>
      <x:c r="G961" s="93"/>
      <x:c r="H961" s="93"/>
      <x:c r="I961" s="93"/>
      <x:c r="J961" s="93"/>
      <x:c r="K961" s="93"/>
    </x:row>
    <x:row r="962" s="92" customFormat="1" ht="7.900000095367432" customHeight="1">
      <x:c r="B962" s="93"/>
      <x:c r="C962" s="93"/>
      <x:c r="D962" s="93"/>
      <x:c r="E962" s="93"/>
      <x:c r="F962" s="93"/>
      <x:c r="G962" s="93"/>
      <x:c r="H962" s="93"/>
      <x:c r="I962" s="93"/>
      <x:c r="J962" s="93"/>
      <x:c r="K962" s="93"/>
    </x:row>
    <x:row r="963" s="92" customFormat="1" ht="7.900000095367432" customHeight="1">
      <x:c r="B963" s="93"/>
      <x:c r="C963" s="93"/>
      <x:c r="D963" s="93"/>
      <x:c r="E963" s="93"/>
      <x:c r="F963" s="93"/>
      <x:c r="G963" s="93"/>
      <x:c r="H963" s="93"/>
      <x:c r="I963" s="93"/>
      <x:c r="J963" s="93"/>
      <x:c r="K963" s="93"/>
    </x:row>
    <x:row r="964" s="92" customFormat="1" ht="7.900000095367432" customHeight="1">
      <x:c r="B964" s="93"/>
      <x:c r="C964" s="93"/>
      <x:c r="D964" s="93"/>
      <x:c r="E964" s="93"/>
      <x:c r="F964" s="93"/>
      <x:c r="G964" s="93"/>
      <x:c r="H964" s="93"/>
      <x:c r="I964" s="93"/>
      <x:c r="J964" s="93"/>
      <x:c r="K964" s="93"/>
    </x:row>
    <x:row r="965" s="92" customFormat="1" ht="7.900000095367432" customHeight="1">
      <x:c r="B965" s="93"/>
      <x:c r="C965" s="93"/>
      <x:c r="D965" s="93"/>
      <x:c r="E965" s="93"/>
      <x:c r="F965" s="93"/>
      <x:c r="G965" s="93"/>
      <x:c r="H965" s="93"/>
      <x:c r="I965" s="93"/>
      <x:c r="J965" s="93"/>
      <x:c r="K965" s="93"/>
    </x:row>
    <x:row r="966" s="92" customFormat="1" ht="7.900000095367432" customHeight="1">
      <x:c r="B966" s="93"/>
      <x:c r="C966" s="93"/>
      <x:c r="D966" s="93"/>
      <x:c r="E966" s="93"/>
      <x:c r="F966" s="93"/>
      <x:c r="G966" s="93"/>
      <x:c r="H966" s="93"/>
      <x:c r="I966" s="93"/>
      <x:c r="J966" s="93"/>
      <x:c r="K966" s="93"/>
    </x:row>
    <x:row r="967" s="92" customFormat="1" ht="7.900000095367432" customHeight="1">
      <x:c r="B967" s="93"/>
      <x:c r="C967" s="93"/>
      <x:c r="D967" s="93"/>
      <x:c r="E967" s="93"/>
      <x:c r="F967" s="93"/>
      <x:c r="G967" s="93"/>
      <x:c r="H967" s="93"/>
      <x:c r="I967" s="93"/>
      <x:c r="J967" s="93"/>
      <x:c r="K967" s="93"/>
    </x:row>
    <x:row r="968" s="92" customFormat="1" ht="7.900000095367432" customHeight="1">
      <x:c r="B968" s="93"/>
      <x:c r="C968" s="93"/>
      <x:c r="D968" s="93"/>
      <x:c r="E968" s="93"/>
      <x:c r="F968" s="93"/>
      <x:c r="G968" s="93"/>
      <x:c r="H968" s="93"/>
      <x:c r="I968" s="93"/>
      <x:c r="J968" s="93"/>
      <x:c r="K968" s="93"/>
    </x:row>
    <x:row r="969" s="92" customFormat="1" ht="7.900000095367432" customHeight="1">
      <x:c r="B969" s="93"/>
      <x:c r="C969" s="93"/>
      <x:c r="D969" s="93"/>
      <x:c r="E969" s="93"/>
      <x:c r="F969" s="93"/>
      <x:c r="G969" s="93"/>
      <x:c r="H969" s="93"/>
      <x:c r="I969" s="93"/>
      <x:c r="J969" s="93"/>
      <x:c r="K969" s="93"/>
    </x:row>
    <x:row r="970" s="92" customFormat="1" ht="7.900000095367432" customHeight="1">
      <x:c r="B970" s="93"/>
      <x:c r="C970" s="93"/>
      <x:c r="D970" s="93"/>
      <x:c r="E970" s="93"/>
      <x:c r="F970" s="93"/>
      <x:c r="G970" s="93"/>
      <x:c r="H970" s="93"/>
      <x:c r="I970" s="93"/>
      <x:c r="J970" s="93"/>
      <x:c r="K970" s="93"/>
    </x:row>
    <x:row r="971" s="92" customFormat="1" ht="7.900000095367432" customHeight="1">
      <x:c r="B971" s="93"/>
      <x:c r="C971" s="93"/>
      <x:c r="D971" s="93"/>
      <x:c r="E971" s="93"/>
      <x:c r="F971" s="93"/>
      <x:c r="G971" s="93"/>
      <x:c r="H971" s="93"/>
      <x:c r="I971" s="93"/>
      <x:c r="J971" s="93"/>
      <x:c r="K971" s="93"/>
    </x:row>
    <x:row r="972" s="92" customFormat="1" ht="7.900000095367432" customHeight="1">
      <x:c r="B972" s="93"/>
      <x:c r="C972" s="93"/>
      <x:c r="D972" s="93"/>
      <x:c r="E972" s="93"/>
      <x:c r="F972" s="93"/>
      <x:c r="G972" s="93"/>
      <x:c r="H972" s="93"/>
      <x:c r="I972" s="93"/>
      <x:c r="J972" s="93"/>
      <x:c r="K972" s="93"/>
    </x:row>
    <x:row r="973" s="92" customFormat="1" ht="7.900000095367432" customHeight="1">
      <x:c r="B973" s="93"/>
      <x:c r="C973" s="93"/>
      <x:c r="D973" s="93"/>
      <x:c r="E973" s="93"/>
      <x:c r="F973" s="93"/>
      <x:c r="G973" s="93"/>
      <x:c r="H973" s="93"/>
      <x:c r="I973" s="93"/>
      <x:c r="J973" s="93"/>
      <x:c r="K973" s="93"/>
    </x:row>
    <x:row r="974" s="92" customFormat="1" ht="7.900000095367432" customHeight="1">
      <x:c r="B974" s="93"/>
      <x:c r="C974" s="93"/>
      <x:c r="D974" s="93"/>
      <x:c r="E974" s="93"/>
      <x:c r="F974" s="93"/>
      <x:c r="G974" s="93"/>
      <x:c r="H974" s="93"/>
      <x:c r="I974" s="93"/>
      <x:c r="J974" s="93"/>
      <x:c r="K974" s="93"/>
    </x:row>
    <x:row r="975" s="92" customFormat="1" ht="7.900000095367432" customHeight="1">
      <x:c r="B975" s="93"/>
      <x:c r="C975" s="93"/>
      <x:c r="D975" s="93"/>
      <x:c r="E975" s="93"/>
      <x:c r="F975" s="93"/>
      <x:c r="G975" s="93"/>
      <x:c r="H975" s="93"/>
      <x:c r="I975" s="93"/>
      <x:c r="J975" s="93"/>
      <x:c r="K975" s="93"/>
    </x:row>
    <x:row r="976" s="92" customFormat="1" ht="7.900000095367432" customHeight="1">
      <x:c r="B976" s="93"/>
      <x:c r="C976" s="93"/>
      <x:c r="D976" s="93"/>
      <x:c r="E976" s="93"/>
      <x:c r="F976" s="93"/>
      <x:c r="G976" s="93"/>
      <x:c r="H976" s="93"/>
      <x:c r="I976" s="93"/>
      <x:c r="J976" s="93"/>
      <x:c r="K976" s="93"/>
    </x:row>
    <x:row r="977" s="92" customFormat="1" ht="7.900000095367432" customHeight="1">
      <x:c r="B977" s="93"/>
      <x:c r="C977" s="93"/>
      <x:c r="D977" s="93"/>
      <x:c r="E977" s="93"/>
      <x:c r="F977" s="93"/>
      <x:c r="G977" s="93"/>
      <x:c r="H977" s="93"/>
      <x:c r="I977" s="93"/>
      <x:c r="J977" s="93"/>
      <x:c r="K977" s="93"/>
    </x:row>
    <x:row r="978" s="92" customFormat="1" ht="7.900000095367432" customHeight="1">
      <x:c r="B978" s="93"/>
      <x:c r="C978" s="93"/>
      <x:c r="D978" s="93"/>
      <x:c r="E978" s="93"/>
      <x:c r="F978" s="93"/>
      <x:c r="G978" s="93"/>
      <x:c r="H978" s="93"/>
      <x:c r="I978" s="93"/>
      <x:c r="J978" s="93"/>
      <x:c r="K978" s="93"/>
    </x:row>
    <x:row r="979" s="92" customFormat="1" ht="7.900000095367432" customHeight="1">
      <x:c r="B979" s="93"/>
      <x:c r="C979" s="93"/>
      <x:c r="D979" s="93"/>
      <x:c r="E979" s="93"/>
      <x:c r="F979" s="93"/>
      <x:c r="G979" s="93"/>
      <x:c r="H979" s="93"/>
      <x:c r="I979" s="93"/>
      <x:c r="J979" s="93"/>
      <x:c r="K979" s="93"/>
    </x:row>
    <x:row r="980" s="92" customFormat="1" ht="7.900000095367432" customHeight="1">
      <x:c r="B980" s="93"/>
      <x:c r="C980" s="93"/>
      <x:c r="D980" s="93"/>
      <x:c r="E980" s="93"/>
      <x:c r="F980" s="93"/>
      <x:c r="G980" s="93"/>
      <x:c r="H980" s="93"/>
      <x:c r="I980" s="93"/>
      <x:c r="J980" s="93"/>
      <x:c r="K980" s="93"/>
    </x:row>
    <x:row r="981" s="92" customFormat="1" ht="7.900000095367432" customHeight="1">
      <x:c r="B981" s="93"/>
      <x:c r="C981" s="93"/>
      <x:c r="D981" s="93"/>
      <x:c r="E981" s="93"/>
      <x:c r="F981" s="93"/>
      <x:c r="G981" s="93"/>
      <x:c r="H981" s="93"/>
      <x:c r="I981" s="93"/>
      <x:c r="J981" s="93"/>
      <x:c r="K981" s="93"/>
    </x:row>
    <x:row r="982" s="92" customFormat="1" ht="7.900000095367432" customHeight="1">
      <x:c r="B982" s="93"/>
      <x:c r="C982" s="93"/>
      <x:c r="D982" s="93"/>
      <x:c r="E982" s="93"/>
      <x:c r="F982" s="93"/>
      <x:c r="G982" s="93"/>
      <x:c r="H982" s="93"/>
      <x:c r="I982" s="93"/>
      <x:c r="J982" s="93"/>
      <x:c r="K982" s="93"/>
    </x:row>
    <x:row r="983" s="92" customFormat="1" ht="7.900000095367432" customHeight="1">
      <x:c r="B983" s="93"/>
      <x:c r="C983" s="93"/>
      <x:c r="D983" s="93"/>
      <x:c r="E983" s="93"/>
      <x:c r="F983" s="93"/>
      <x:c r="G983" s="93"/>
      <x:c r="H983" s="93"/>
      <x:c r="I983" s="93"/>
      <x:c r="J983" s="93"/>
      <x:c r="K983" s="93"/>
    </x:row>
    <x:row r="984" s="92" customFormat="1" ht="7.900000095367432" customHeight="1">
      <x:c r="B984" s="93"/>
      <x:c r="C984" s="93"/>
      <x:c r="D984" s="93"/>
      <x:c r="E984" s="93"/>
      <x:c r="F984" s="93"/>
      <x:c r="G984" s="93"/>
      <x:c r="H984" s="93"/>
      <x:c r="I984" s="93"/>
      <x:c r="J984" s="93"/>
      <x:c r="K984" s="93"/>
    </x:row>
    <x:row r="985" s="92" customFormat="1" ht="7.900000095367432" customHeight="1">
      <x:c r="B985" s="93"/>
      <x:c r="C985" s="93"/>
      <x:c r="D985" s="93"/>
      <x:c r="E985" s="93"/>
      <x:c r="F985" s="93"/>
      <x:c r="G985" s="93"/>
      <x:c r="H985" s="93"/>
      <x:c r="I985" s="93"/>
      <x:c r="J985" s="93"/>
      <x:c r="K985" s="93"/>
    </x:row>
    <x:row r="986" s="92" customFormat="1" ht="7.900000095367432" customHeight="1">
      <x:c r="B986" s="93"/>
      <x:c r="C986" s="93"/>
      <x:c r="D986" s="93"/>
      <x:c r="E986" s="93"/>
      <x:c r="F986" s="93"/>
      <x:c r="G986" s="93"/>
      <x:c r="H986" s="93"/>
      <x:c r="I986" s="93"/>
      <x:c r="J986" s="93"/>
      <x:c r="K986" s="93"/>
    </x:row>
    <x:row r="987" s="92" customFormat="1" ht="7.900000095367432" customHeight="1">
      <x:c r="B987" s="93"/>
      <x:c r="C987" s="93"/>
      <x:c r="D987" s="93"/>
      <x:c r="E987" s="93"/>
      <x:c r="F987" s="93"/>
      <x:c r="G987" s="93"/>
      <x:c r="H987" s="93"/>
      <x:c r="I987" s="93"/>
      <x:c r="J987" s="93"/>
      <x:c r="K987" s="93"/>
    </x:row>
    <x:row r="988" s="92" customFormat="1" ht="7.900000095367432" customHeight="1">
      <x:c r="B988" s="93"/>
      <x:c r="C988" s="93"/>
      <x:c r="D988" s="93"/>
      <x:c r="E988" s="93"/>
      <x:c r="F988" s="93"/>
      <x:c r="G988" s="93"/>
      <x:c r="H988" s="93"/>
      <x:c r="I988" s="93"/>
      <x:c r="J988" s="93"/>
      <x:c r="K988" s="93"/>
    </x:row>
    <x:row r="989" s="92" customFormat="1" ht="7.900000095367432" customHeight="1">
      <x:c r="B989" s="93"/>
      <x:c r="C989" s="93"/>
      <x:c r="D989" s="93"/>
      <x:c r="E989" s="93"/>
      <x:c r="F989" s="93"/>
      <x:c r="G989" s="93"/>
      <x:c r="H989" s="93"/>
      <x:c r="I989" s="93"/>
      <x:c r="J989" s="93"/>
      <x:c r="K989" s="93"/>
    </x:row>
    <x:row r="990" s="92" customFormat="1" ht="7.900000095367432" customHeight="1">
      <x:c r="B990" s="93"/>
      <x:c r="C990" s="93"/>
      <x:c r="D990" s="93"/>
      <x:c r="E990" s="93"/>
      <x:c r="F990" s="93"/>
      <x:c r="G990" s="93"/>
      <x:c r="H990" s="93"/>
      <x:c r="I990" s="93"/>
      <x:c r="J990" s="93"/>
      <x:c r="K990" s="93"/>
    </x:row>
    <x:row r="991" s="92" customFormat="1" ht="7.900000095367432" customHeight="1">
      <x:c r="B991" s="93"/>
      <x:c r="C991" s="93"/>
      <x:c r="D991" s="93"/>
      <x:c r="E991" s="93"/>
      <x:c r="F991" s="93"/>
      <x:c r="G991" s="93"/>
      <x:c r="H991" s="93"/>
      <x:c r="I991" s="93"/>
      <x:c r="J991" s="93"/>
      <x:c r="K991" s="93"/>
    </x:row>
    <x:row r="992" s="92" customFormat="1" ht="7.900000095367432" customHeight="1">
      <x:c r="B992" s="93"/>
      <x:c r="C992" s="93"/>
      <x:c r="D992" s="93"/>
      <x:c r="E992" s="93"/>
      <x:c r="F992" s="93"/>
      <x:c r="G992" s="93"/>
      <x:c r="H992" s="93"/>
      <x:c r="I992" s="93"/>
      <x:c r="J992" s="93"/>
      <x:c r="K992" s="93"/>
    </x:row>
    <x:row r="993" s="92" customFormat="1" ht="7.900000095367432" customHeight="1">
      <x:c r="B993" s="93"/>
      <x:c r="C993" s="93"/>
      <x:c r="D993" s="93"/>
      <x:c r="E993" s="93"/>
      <x:c r="F993" s="93"/>
      <x:c r="G993" s="93"/>
      <x:c r="H993" s="93"/>
      <x:c r="I993" s="93"/>
      <x:c r="J993" s="93"/>
      <x:c r="K993" s="93"/>
    </x:row>
  </x:sheetData>
  <x:mergeCells>
    <x:mergeCell ref="A2:J2"/>
    <x:mergeCell ref="K2:K3"/>
    <x:mergeCell ref="C3:D3"/>
    <x:mergeCell ref="L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4" width="32.06640625" style="93" customWidth="1"/>
    <x:col min="5" max="5" width="45" style="93" customWidth="1"/>
    <x:col min="6" max="6" width="30.1328125" style="93" customWidth="1"/>
    <x:col min="7" max="7" width="17.59765625" style="93" customWidth="1"/>
    <x:col min="8" max="9" width="22.73046875" style="93" customWidth="1"/>
    <x:col min="10" max="10" width="14" style="93" customWidth="1"/>
    <x:col min="11" max="11" width="18.73046875" style="93" customWidth="1"/>
    <x:col min="12" max="12" width="14" style="93" customWidth="1"/>
    <x:col min="13" max="13" width="15.796875" style="93" customWidth="1"/>
    <x:col min="14" max="21" width="14" style="93" customWidth="1"/>
    <x:col min="22" max="16384" width="14.3984375" style="93" customWidth="0"/>
  </x:cols>
  <x:sheetData>
    <x:row r="2" ht="12" customHeight="1">
      <x:c r="A2" s="651" t="s">
        <x:v>207</x:v>
      </x:c>
      <x:c r="B2" s="652"/>
      <x:c r="C2" s="652"/>
      <x:c r="D2" s="652"/>
      <x:c r="E2" s="652"/>
      <x:c r="F2" s="652"/>
      <x:c r="G2" s="652"/>
      <x:c r="H2" s="652"/>
      <x:c r="I2" s="652"/>
      <x:c r="J2" s="653"/>
      <x:c r="K2" s="649" t="s">
        <x:v>162</x:v>
      </x:c>
      <x:c r="L2" s="640" t="s">
        <x:v>163</x:v>
      </x:c>
      <x:c r="M2" s="641"/>
      <x:c r="N2" s="642"/>
    </x:row>
    <x:row r="3" ht="11.649999618530273" customHeight="1">
      <x:c r="A3" s="116" t="s">
        <x:v>47</x:v>
      </x:c>
      <x:c r="B3" s="121" t="s">
        <x:v>184</x:v>
      </x:c>
      <x:c r="C3" s="121" t="s">
        <x:v>194</x:v>
      </x:c>
      <x:c r="D3" s="121" t="s">
        <x:v>208</x:v>
      </x:c>
      <x:c r="E3" s="121" t="s">
        <x:v>207</x:v>
      </x:c>
      <x:c r="F3" s="121" t="s">
        <x:v>165</x:v>
      </x:c>
      <x:c r="G3" s="121" t="s">
        <x:v>11</x:v>
      </x:c>
      <x:c r="H3" s="117" t="s">
        <x:v>166</x:v>
      </x:c>
      <x:c r="I3" s="117" t="s">
        <x:v>167</x:v>
      </x:c>
      <x:c r="J3" s="118" t="s">
        <x:v>168</x:v>
      </x:c>
      <x:c r="K3" s="650"/>
      <x:c r="L3" s="146" t="s">
        <x:v>169</x:v>
      </x:c>
      <x:c r="M3" s="146" t="s">
        <x:v>170</x:v>
      </x:c>
      <x:c r="N3" s="146" t="s">
        <x:v>171</x:v>
      </x:c>
    </x:row>
    <x:row r="4" ht="24.75" customHeight="1">
      <x:c r="A4" s="94">
        <x:v>1</x:v>
      </x:c>
      <x:c r="B4" s="95" t="s">
        <x:v>84</x:v>
      </x:c>
      <x:c r="C4" s="128" t="s">
        <x:v>112</x:v>
      </x:c>
      <x:c r="D4" s="95" t="s">
        <x:v>209</x:v>
      </x:c>
      <x:c r="E4" s="95" t="s">
        <x:v>210</x:v>
      </x:c>
      <x:c r="F4" s="95" t="s">
        <x:v>211</x:v>
      </x:c>
      <x:c r="G4" s="95" t="s">
        <x:v>212</x:v>
      </x:c>
      <x:c r="H4" s="96">
        <x:v>100</x:v>
      </x:c>
      <x:c r="I4" s="97">
        <x:v>95</x:v>
      </x:c>
      <x:c r="J4" s="98">
        <x:v>0.95</x:v>
      </x:c>
      <x:c r="K4" s="125" t="s">
        <x:v>173</x:v>
      </x:c>
      <x:c r="L4" s="98">
        <x:v>1100000000</x:v>
      </x:c>
      <x:c r="M4" s="98">
        <x:v>990000000</x:v>
      </x:c>
      <x:c r="N4" s="125">
        <x:v>0.9</x:v>
      </x:c>
    </x:row>
    <x:row r="5" ht="25.899999618530273" customHeight="1">
      <x:c r="A5" s="94">
        <x:v>2</x:v>
      </x:c>
      <x:c r="B5" s="99" t="s">
        <x:v>84</x:v>
      </x:c>
      <x:c r="C5" s="129" t="s">
        <x:v>112</x:v>
      </x:c>
      <x:c r="D5" s="99" t="s">
        <x:v>127</x:v>
      </x:c>
      <x:c r="E5" s="95" t="s">
        <x:v>210</x:v>
      </x:c>
      <x:c r="F5" s="100" t="s">
        <x:v>211</x:v>
      </x:c>
      <x:c r="G5" s="100" t="s">
        <x:v>212</x:v>
      </x:c>
      <x:c r="H5" s="101">
        <x:v>100</x:v>
      </x:c>
      <x:c r="I5" s="102">
        <x:v>94</x:v>
      </x:c>
      <x:c r="J5" s="1506" t="n">
        <x:f>IF(OR(H5="",I5="",H5=0),"",I5/H5)</x:f>
        <x:v>0.94</x:v>
      </x:c>
      <x:c r="K5" s="125" t="s">
        <x:v>173</x:v>
      </x:c>
      <x:c r="L5" s="98">
        <x:v>1250000000</x:v>
      </x:c>
      <x:c r="M5" s="98">
        <x:v>1125000000</x:v>
      </x:c>
      <x:c r="N5" s="1510" t="n">
        <x:f>IF(OR(L5="",M5="",L5=0),"",M5/L5)</x:f>
        <x:v>0.9</x:v>
      </x:c>
    </x:row>
    <x:row r="6" ht="23.649999618530273" customHeight="1">
      <x:c r="A6" s="94">
        <x:v>3</x:v>
      </x:c>
      <x:c r="B6" s="95" t="s">
        <x:v>84</x:v>
      </x:c>
      <x:c r="C6" s="128" t="s">
        <x:v>112</x:v>
      </x:c>
      <x:c r="D6" s="95" t="s">
        <x:v>114</x:v>
      </x:c>
      <x:c r="E6" s="95" t="s">
        <x:v>210</x:v>
      </x:c>
      <x:c r="F6" s="95" t="s">
        <x:v>211</x:v>
      </x:c>
      <x:c r="G6" s="95" t="s">
        <x:v>212</x:v>
      </x:c>
      <x:c r="H6" s="107">
        <x:v>39</x:v>
      </x:c>
      <x:c r="I6" s="108">
        <x:v>39</x:v>
      </x:c>
      <x:c r="J6" s="1506" t="n">
        <x:f>IF(OR(H6="",I6="",H6=0),"",I6/H6)</x:f>
        <x:v>1</x:v>
      </x:c>
      <x:c r="K6" s="125" t="s">
        <x:v>173</x:v>
      </x:c>
      <x:c r="L6" s="98">
        <x:v>939715600</x:v>
      </x:c>
      <x:c r="M6" s="98">
        <x:v>845744040</x:v>
      </x:c>
      <x:c r="N6" s="1510" t="n">
        <x:f>IF(OR(L6="",M6="",L6=0),"",M6/L6)</x:f>
        <x:v>0.9</x:v>
      </x:c>
    </x:row>
    <x:row r="7" ht="18" customHeight="1">
      <x:c r="A7" s="94">
        <x:v>4</x:v>
      </x:c>
      <x:c r="B7" s="95" t="s">
        <x:v>84</x:v>
      </x:c>
      <x:c r="C7" s="95" t="s">
        <x:v>112</x:v>
      </x:c>
      <x:c r="D7" s="95" t="s">
        <x:v>213</x:v>
      </x:c>
      <x:c r="E7" s="95" t="s">
        <x:v>210</x:v>
      </x:c>
      <x:c r="F7" s="109" t="s">
        <x:v>211</x:v>
      </x:c>
      <x:c r="G7" s="109" t="s">
        <x:v>212</x:v>
      </x:c>
      <x:c r="H7" s="110">
        <x:v>5</x:v>
      </x:c>
      <x:c r="I7" s="111">
        <x:v>5</x:v>
      </x:c>
      <x:c r="J7" s="1506" t="n">
        <x:f>IF(OR(H7="",I7="",H7=0),"",I7/H7)</x:f>
        <x:v>1</x:v>
      </x:c>
      <x:c r="K7" s="125" t="s">
        <x:v>173</x:v>
      </x:c>
      <x:c r="L7" s="98">
        <x:v>650000000</x:v>
      </x:c>
      <x:c r="M7" s="98">
        <x:v>585000000</x:v>
      </x:c>
      <x:c r="N7" s="1510" t="n">
        <x:f>IF(OR(L7="",M7="",L7=0),"",M7/L7)</x:f>
        <x:v>0.9</x:v>
      </x:c>
    </x:row>
    <x:row r="8" ht="16.899999618530273" customHeight="1">
      <x:c r="A8" s="94">
        <x:v>5</x:v>
      </x:c>
      <x:c r="B8" s="95" t="s">
        <x:v>84</x:v>
      </x:c>
      <x:c r="C8" s="95" t="s">
        <x:v>112</x:v>
      </x:c>
      <x:c r="D8" s="95" t="s">
        <x:v>129</x:v>
      </x:c>
      <x:c r="E8" s="95" t="s">
        <x:v>210</x:v>
      </x:c>
      <x:c r="F8" s="112" t="s">
        <x:v>211</x:v>
      </x:c>
      <x:c r="G8" s="112" t="s">
        <x:v>212</x:v>
      </x:c>
      <x:c r="H8" s="110">
        <x:v>12</x:v>
      </x:c>
      <x:c r="I8" s="113">
        <x:v>11</x:v>
      </x:c>
      <x:c r="J8" s="1506" t="n">
        <x:f>IF(OR(H8="",I8="",H8=0),"",I8/H8)</x:f>
        <x:v>0.9166666666666666</x:v>
      </x:c>
      <x:c r="K8" s="125" t="s">
        <x:v>173</x:v>
      </x:c>
      <x:c r="L8" s="98">
        <x:v>450000000</x:v>
      </x:c>
      <x:c r="M8" s="98">
        <x:v>405000000</x:v>
      </x:c>
      <x:c r="N8" s="1510" t="n">
        <x:f>IF(OR(L8="",M8="",L8=0),"",M8/L8)</x:f>
        <x:v>0.9</x:v>
      </x:c>
    </x:row>
    <x:row r="9" ht="17.850000381469727" customHeight="1">
      <x:c r="A9" s="94">
        <x:v>6</x:v>
      </x:c>
      <x:c r="B9" s="95" t="s">
        <x:v>84</x:v>
      </x:c>
      <x:c r="C9" s="95" t="s">
        <x:v>112</x:v>
      </x:c>
      <x:c r="D9" s="95" t="s">
        <x:v>119</x:v>
      </x:c>
      <x:c r="E9" s="95" t="s">
        <x:v>210</x:v>
      </x:c>
      <x:c r="F9" s="104" t="s">
        <x:v>211</x:v>
      </x:c>
      <x:c r="G9" s="104" t="s">
        <x:v>212</x:v>
      </x:c>
      <x:c r="H9" s="97">
        <x:v>1</x:v>
      </x:c>
      <x:c r="I9" s="110">
        <x:v>1</x:v>
      </x:c>
      <x:c r="J9" s="1506" t="n">
        <x:f>IF(OR(H9="",I9="",H9=0),"",I9/H9)</x:f>
        <x:v>1</x:v>
      </x:c>
      <x:c r="K9" s="125" t="s">
        <x:v>173</x:v>
      </x:c>
      <x:c r="L9" s="98">
        <x:v>300000000</x:v>
      </x:c>
      <x:c r="M9" s="98">
        <x:v>270000000</x:v>
      </x:c>
      <x:c r="N9" s="1510" t="n">
        <x:f>IF(OR(L9="",M9="",L9=0),"",M9/L9)</x:f>
        <x:v>0.9</x:v>
      </x:c>
    </x:row>
    <x:row r="10" ht="63">
      <x:c r="A10" s="94">
        <x:v>7</x:v>
      </x:c>
      <x:c r="B10" s="95" t="s">
        <x:v>84</x:v>
      </x:c>
      <x:c r="C10" s="114" t="s">
        <x:v>112</x:v>
      </x:c>
      <x:c r="D10" s="114" t="s">
        <x:v>122</x:v>
      </x:c>
      <x:c r="E10" s="114" t="s">
        <x:v>210</x:v>
      </x:c>
      <x:c r="F10" s="115" t="s">
        <x:v>211</x:v>
      </x:c>
      <x:c r="G10" s="115" t="s">
        <x:v>212</x:v>
      </x:c>
      <x:c r="H10" s="110">
        <x:v>4</x:v>
      </x:c>
      <x:c r="I10" s="110">
        <x:v>3</x:v>
      </x:c>
      <x:c r="J10" s="1506" t="n">
        <x:f>IF(OR(H10="",I10="",H10=0),"",I10/H10)</x:f>
        <x:v>0.75</x:v>
      </x:c>
      <x:c r="K10" s="125" t="s">
        <x:v>173</x:v>
      </x:c>
      <x:c r="L10" s="98">
        <x:v>300000000</x:v>
      </x:c>
      <x:c r="M10" s="98">
        <x:v>270000000</x:v>
      </x:c>
      <x:c r="N10" s="1510" t="n">
        <x:f>IF(OR(L10="",M10="",L10=0),"",M10/L10)</x:f>
        <x:v>0.9</x:v>
      </x:c>
    </x:row>
    <x:row r="11">
      <x:c r="A11">
        <x:v>8</x:v>
      </x:c>
      <x:c r="B11" t="s">
        <x:v>84</x:v>
      </x:c>
      <x:c r="C11" t="s">
        <x:v>134</x:v>
      </x:c>
      <x:c r="D11" t="s">
        <x:v>214</x:v>
      </x:c>
      <x:c r="E11" t="s">
        <x:v>210</x:v>
      </x:c>
      <x:c r="F11" t="s">
        <x:v>211</x:v>
      </x:c>
      <x:c r="G11" t="s">
        <x:v>212</x:v>
      </x:c>
      <x:c r="H11">
        <x:v>2</x:v>
      </x:c>
      <x:c r="I11">
        <x:v>2</x:v>
      </x:c>
      <x:c r="J11" s="1512" t="n">
        <x:f>IF(OR(H11="",I11="",H11=0),"",I11/H11)</x:f>
        <x:v>1</x:v>
      </x:c>
      <x:c r="K11" t="s">
        <x:v>173</x:v>
      </x:c>
      <x:c r="L11">
        <x:v>250000000</x:v>
      </x:c>
      <x:c r="M11">
        <x:v>225000000</x:v>
      </x:c>
      <x:c r="N11" s="1512" t="n">
        <x:f>IF(OR(L11="",M11="",L11=0),"",M11/L11)</x:f>
        <x:v>0.9</x:v>
      </x:c>
    </x:row>
    <x:row r="12">
      <x:c r="A12">
        <x:v>9</x:v>
      </x:c>
      <x:c r="B12" t="s">
        <x:v>84</x:v>
      </x:c>
      <x:c r="C12" t="s">
        <x:v>134</x:v>
      </x:c>
      <x:c r="D12" t="s">
        <x:v>215</x:v>
      </x:c>
      <x:c r="E12" t="s">
        <x:v>210</x:v>
      </x:c>
      <x:c r="F12" t="s">
        <x:v>211</x:v>
      </x:c>
      <x:c r="G12" t="s">
        <x:v>212</x:v>
      </x:c>
      <x:c r="H12" s="109">
        <x:v>45</x:v>
      </x:c>
      <x:c r="I12">
        <x:v>42</x:v>
      </x:c>
      <x:c r="J12" s="1512" t="n">
        <x:f>IF(OR(H12="",I12="",H12=0),"",I12/H12)</x:f>
        <x:v>0.9333333333333333</x:v>
      </x:c>
      <x:c r="K12" t="s">
        <x:v>173</x:v>
      </x:c>
      <x:c r="L12">
        <x:v>760000000</x:v>
      </x:c>
      <x:c r="M12">
        <x:v>684000000</x:v>
      </x:c>
      <x:c r="N12" s="1512" t="n">
        <x:f>IF(OR(L12="",M12="",L12=0),"",M12/L12)</x:f>
        <x:v>0.9</x:v>
      </x:c>
    </x:row>
    <x:row r="13">
      <x:c r="A13">
        <x:v>10</x:v>
      </x:c>
      <x:c r="B13" t="s">
        <x:v>187</x:v>
      </x:c>
      <x:c r="C13" t="s">
        <x:v>199</x:v>
      </x:c>
      <x:c r="D13" t="s">
        <x:v>216</x:v>
      </x:c>
      <x:c r="E13" t="s">
        <x:v>210</x:v>
      </x:c>
      <x:c r="F13" t="s">
        <x:v>211</x:v>
      </x:c>
      <x:c r="G13" t="s">
        <x:v>212</x:v>
      </x:c>
      <x:c r="H13">
        <x:v>37</x:v>
      </x:c>
      <x:c r="I13">
        <x:v>36</x:v>
      </x:c>
      <x:c r="J13" s="1512" t="n">
        <x:f>IF(OR(H13="",I13="",H13=0),"",I13/H13)</x:f>
        <x:v>0.972972972972973</x:v>
      </x:c>
      <x:c r="K13" t="s">
        <x:v>173</x:v>
      </x:c>
      <x:c r="L13">
        <x:v>500000000</x:v>
      </x:c>
      <x:c r="M13">
        <x:v>450000000</x:v>
      </x:c>
      <x:c r="N13" s="1512" t="n">
        <x:f>IF(OR(L13="",M13="",L13=0),"",M13/L13)</x:f>
        <x:v>0.9</x:v>
      </x:c>
    </x:row>
    <x:row r="14">
      <x:c r="A14">
        <x:v>11</x:v>
      </x:c>
      <x:c r="B14" t="s">
        <x:v>187</x:v>
      </x:c>
      <x:c r="C14" t="s">
        <x:v>199</x:v>
      </x:c>
      <x:c r="D14" t="s">
        <x:v>217</x:v>
      </x:c>
      <x:c r="E14" t="s">
        <x:v>210</x:v>
      </x:c>
      <x:c r="F14" t="s">
        <x:v>211</x:v>
      </x:c>
      <x:c r="G14" t="s">
        <x:v>212</x:v>
      </x:c>
      <x:c r="H14">
        <x:v>4</x:v>
      </x:c>
      <x:c r="I14">
        <x:v>4</x:v>
      </x:c>
      <x:c r="J14" s="1512" t="n">
        <x:f>IF(OR(H14="",I14="",H14=0),"",I14/H14)</x:f>
        <x:v>1</x:v>
      </x:c>
      <x:c r="K14" t="s">
        <x:v>173</x:v>
      </x:c>
      <x:c r="L14">
        <x:v>800000000</x:v>
      </x:c>
      <x:c r="M14">
        <x:v>720000000</x:v>
      </x:c>
      <x:c r="N14" s="1512" t="n">
        <x:f>IF(OR(L14="",M14="",L14=0),"",M14/L14)</x:f>
        <x:v>0.9</x:v>
      </x:c>
    </x:row>
    <x:row r="15">
      <x:c r="A15">
        <x:v>12</x:v>
      </x:c>
      <x:c r="B15" t="s">
        <x:v>187</x:v>
      </x:c>
      <x:c r="C15" t="s">
        <x:v>199</x:v>
      </x:c>
      <x:c r="D15" t="s">
        <x:v>218</x:v>
      </x:c>
      <x:c r="E15" t="s">
        <x:v>210</x:v>
      </x:c>
      <x:c r="F15" t="s">
        <x:v>211</x:v>
      </x:c>
      <x:c r="G15" t="s">
        <x:v>212</x:v>
      </x:c>
      <x:c r="H15">
        <x:v>4</x:v>
      </x:c>
      <x:c r="I15">
        <x:v>4</x:v>
      </x:c>
      <x:c r="J15" s="1512" t="n">
        <x:f>IF(OR(H15="",I15="",H15=0),"",I15/H15)</x:f>
        <x:v>1</x:v>
      </x:c>
      <x:c r="K15" t="s">
        <x:v>173</x:v>
      </x:c>
      <x:c r="L15">
        <x:v>1489053187</x:v>
      </x:c>
      <x:c r="M15">
        <x:v>1340147868</x:v>
      </x:c>
      <x:c r="N15" s="1512" t="n">
        <x:f>IF(OR(L15="",M15="",L15=0),"",M15/L15)</x:f>
        <x:v>0.8999999997985297</x:v>
      </x:c>
    </x:row>
    <x:row r="20" ht="7.900000095367432" customHeight="1"/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</x:sheetData>
  <x:mergeCells>
    <x:mergeCell ref="A2:J2"/>
    <x:mergeCell ref="K2:K3"/>
    <x:mergeCell ref="L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92" customWidth="1"/>
    <x:col min="2" max="2" width="33.46484375" style="93" customWidth="1"/>
    <x:col min="3" max="3" width="5.6640625" style="132" customWidth="1"/>
    <x:col min="4" max="5" width="32.06640625" style="93" customWidth="1"/>
    <x:col min="6" max="6" width="45" style="93" customWidth="1"/>
    <x:col min="7" max="7" width="42.1328125" style="93" customWidth="1"/>
    <x:col min="8" max="8" width="17.59765625" style="93" customWidth="1"/>
    <x:col min="9" max="10" width="22.73046875" style="93" customWidth="1"/>
    <x:col min="11" max="11" width="14" style="93" customWidth="1"/>
    <x:col min="12" max="12" width="18.73046875" style="93" customWidth="1"/>
    <x:col min="13" max="22" width="14" style="93" customWidth="1"/>
    <x:col min="23" max="16384" width="14.3984375" style="93" customWidth="0"/>
  </x:cols>
  <x:sheetData>
    <x:row r="2" ht="12" customHeight="1">
      <x:c r="A2" s="651" t="s">
        <x:v>207</x:v>
      </x:c>
      <x:c r="B2" s="652"/>
      <x:c r="C2" s="652"/>
      <x:c r="D2" s="652"/>
      <x:c r="E2" s="652"/>
      <x:c r="F2" s="652"/>
      <x:c r="G2" s="652"/>
      <x:c r="H2" s="652"/>
      <x:c r="I2" s="652"/>
      <x:c r="J2" s="652"/>
      <x:c r="K2" s="653"/>
      <x:c r="L2" s="649" t="s">
        <x:v>162</x:v>
      </x:c>
      <x:c r="M2" s="640" t="s">
        <x:v>163</x:v>
      </x:c>
      <x:c r="N2" s="641"/>
      <x:c r="O2" s="642"/>
    </x:row>
    <x:row r="3" ht="11.649999618530273" customHeight="1">
      <x:c r="A3" s="116" t="s">
        <x:v>47</x:v>
      </x:c>
      <x:c r="B3" s="121" t="s">
        <x:v>184</x:v>
      </x:c>
      <x:c r="C3" s="656" t="s">
        <x:v>194</x:v>
      </x:c>
      <x:c r="D3" s="657"/>
      <x:c r="E3" s="121" t="s">
        <x:v>208</x:v>
      </x:c>
      <x:c r="F3" s="121" t="s">
        <x:v>207</x:v>
      </x:c>
      <x:c r="G3" s="121" t="s">
        <x:v>165</x:v>
      </x:c>
      <x:c r="H3" s="121" t="s">
        <x:v>11</x:v>
      </x:c>
      <x:c r="I3" s="117" t="s">
        <x:v>166</x:v>
      </x:c>
      <x:c r="J3" s="117" t="s">
        <x:v>167</x:v>
      </x:c>
      <x:c r="K3" s="118" t="s">
        <x:v>168</x:v>
      </x:c>
      <x:c r="L3" s="650"/>
      <x:c r="M3" s="146" t="s">
        <x:v>169</x:v>
      </x:c>
      <x:c r="N3" s="146" t="s">
        <x:v>170</x:v>
      </x:c>
      <x:c r="O3" s="146" t="s">
        <x:v>171</x:v>
      </x:c>
    </x:row>
    <x:row r="4" ht="24.75" customHeight="1">
      <x:c r="A4" s="94">
        <x:v>1</x:v>
      </x:c>
      <x:c r="B4" s="95" t="s">
        <x:v>102</x:v>
      </x:c>
      <x:c r="C4" s="130">
        <x:v>1</x:v>
      </x:c>
      <x:c r="D4" s="114" t="s">
        <x:v>202</x:v>
      </x:c>
      <x:c r="E4" s="95" t="s">
        <x:v>219</x:v>
      </x:c>
      <x:c r="F4" s="95" t="s">
        <x:v>220</x:v>
      </x:c>
      <x:c r="G4" s="95" t="s">
        <x:v>40</x:v>
      </x:c>
      <x:c r="H4" s="95">
        <x:v>100</x:v>
      </x:c>
      <x:c r="I4" s="96">
        <x:v>96</x:v>
      </x:c>
      <x:c r="J4" s="97">
        <x:v>0.96</x:v>
      </x:c>
      <x:c r="K4" s="98" t="s">
        <x:v>173</x:v>
      </x:c>
      <x:c r="L4" s="125">
        <x:v>250000000</x:v>
      </x:c>
      <x:c r="M4" s="98">
        <x:v>230000000</x:v>
      </x:c>
      <x:c r="N4" s="98">
        <x:v>0.92</x:v>
      </x:c>
      <x:c r="O4" s="125">
        <x:v>0.92</x:v>
      </x:c>
    </x:row>
    <x:row r="5" ht="25.899999618530273" customHeight="1">
      <x:c r="A5" s="94"/>
      <x:c r="B5" s="99" t="s">
        <x:v>102</x:v>
      </x:c>
      <x:c r="C5" s="133">
        <x:v>2</x:v>
      </x:c>
      <x:c r="D5" s="114" t="s">
        <x:v>147</x:v>
      </x:c>
      <x:c r="E5" s="99" t="s">
        <x:v>219</x:v>
      </x:c>
      <x:c r="F5" s="95" t="s">
        <x:v>220</x:v>
      </x:c>
      <x:c r="G5" s="100" t="s">
        <x:v>40</x:v>
      </x:c>
      <x:c r="H5" s="100">
        <x:v>100</x:v>
      </x:c>
      <x:c r="I5" s="101">
        <x:v>96</x:v>
      </x:c>
      <x:c r="J5" s="102">
        <x:v>0.96</x:v>
      </x:c>
      <x:c r="K5" s="1506" t="n">
        <x:f>IF(OR(I5="",J5="",I5=0),"",J5/I5)</x:f>
        <x:v>0.01</x:v>
      </x:c>
      <x:c r="L5" s="125">
        <x:v>5700000000</x:v>
      </x:c>
      <x:c r="M5" s="98">
        <x:v>5244000000</x:v>
      </x:c>
      <x:c r="N5" s="98">
        <x:v>0.92</x:v>
      </x:c>
      <x:c r="O5" s="1510" t="n">
        <x:f>IF(OR(M5="",N5="",M5=0),"",N5/M5)</x:f>
        <x:v>1.754385964912281e-10</x:v>
      </x:c>
    </x:row>
    <x:row r="6" ht="25.5" customHeight="1">
      <x:c r="A6" s="94"/>
      <x:c r="B6" s="103" t="s">
        <x:v>102</x:v>
      </x:c>
      <x:c r="C6" s="130">
        <x:v>3</x:v>
      </x:c>
      <x:c r="D6" s="114" t="s">
        <x:v>149</x:v>
      </x:c>
      <x:c r="E6" s="122" t="s">
        <x:v>219</x:v>
      </x:c>
      <x:c r="F6" s="104" t="s">
        <x:v>220</x:v>
      </x:c>
      <x:c r="G6" s="105" t="s">
        <x:v>40</x:v>
      </x:c>
      <x:c r="H6" s="105">
        <x:v>100</x:v>
      </x:c>
      <x:c r="I6" s="97">
        <x:v>96</x:v>
      </x:c>
      <x:c r="J6" s="106">
        <x:v>0.96</x:v>
      </x:c>
      <x:c r="K6" s="1506" t="n">
        <x:f>IF(OR(I6="",J6="",I6=0),"",J6/I6)</x:f>
        <x:v>0.01</x:v>
      </x:c>
      <x:c r="L6" s="125">
        <x:v>350000000</x:v>
      </x:c>
      <x:c r="M6" s="98">
        <x:v>322000000</x:v>
      </x:c>
      <x:c r="N6" s="98">
        <x:v>0.92</x:v>
      </x:c>
      <x:c r="O6" s="1510" t="n">
        <x:f>IF(OR(M6="",N6="",M6=0),"",N6/M6)</x:f>
        <x:v>2.857142857142857e-9</x:v>
      </x:c>
    </x:row>
    <x:row r="7" ht="23.649999618530273" customHeight="1">
      <x:c r="A7" s="94"/>
      <x:c r="B7" s="95" t="s">
        <x:v>102</x:v>
      </x:c>
      <x:c r="C7" s="133">
        <x:v>4</x:v>
      </x:c>
      <x:c r="D7" s="114" t="s">
        <x:v>151</x:v>
      </x:c>
      <x:c r="E7" s="95" t="s">
        <x:v>219</x:v>
      </x:c>
      <x:c r="F7" s="95" t="s">
        <x:v>220</x:v>
      </x:c>
      <x:c r="G7" s="95" t="s">
        <x:v>40</x:v>
      </x:c>
      <x:c r="H7" s="95">
        <x:v>100</x:v>
      </x:c>
      <x:c r="I7" s="107">
        <x:v>96</x:v>
      </x:c>
      <x:c r="J7" s="108">
        <x:v>0.96</x:v>
      </x:c>
      <x:c r="K7" s="1506" t="n">
        <x:f>IF(OR(I7="",J7="",I7=0),"",J7/I7)</x:f>
        <x:v>0.01</x:v>
      </x:c>
      <x:c r="L7" s="125">
        <x:v>900000000</x:v>
      </x:c>
      <x:c r="M7" s="98">
        <x:v>828000000</x:v>
      </x:c>
      <x:c r="N7" s="98">
        <x:v>0.92</x:v>
      </x:c>
      <x:c r="O7" s="1510" t="n">
        <x:f>IF(OR(M7="",N7="",M7=0),"",N7/M7)</x:f>
        <x:v>1.111111111111111e-9</x:v>
      </x:c>
    </x:row>
    <x:row r="8" ht="18" customHeight="1">
      <x:c r="A8" s="94"/>
      <x:c r="B8" s="95" t="s">
        <x:v>102</x:v>
      </x:c>
      <x:c r="C8" s="130">
        <x:v>5</x:v>
      </x:c>
      <x:c r="D8" s="114" t="s">
        <x:v>153</x:v>
      </x:c>
      <x:c r="E8" s="95" t="s">
        <x:v>219</x:v>
      </x:c>
      <x:c r="F8" s="95" t="s">
        <x:v>220</x:v>
      </x:c>
      <x:c r="G8" s="109" t="s">
        <x:v>40</x:v>
      </x:c>
      <x:c r="H8" s="109">
        <x:v>100</x:v>
      </x:c>
      <x:c r="I8" s="110">
        <x:v>96</x:v>
      </x:c>
      <x:c r="J8" s="111">
        <x:v>0.96</x:v>
      </x:c>
      <x:c r="K8" s="1506" t="n">
        <x:f>IF(OR(I8="",J8="",I8=0),"",J8/I8)</x:f>
        <x:v>0.01</x:v>
      </x:c>
      <x:c r="L8" s="125">
        <x:v>450000000</x:v>
      </x:c>
      <x:c r="M8" s="98">
        <x:v>414000000</x:v>
      </x:c>
      <x:c r="N8" s="98">
        <x:v>0.92</x:v>
      </x:c>
      <x:c r="O8" s="1510" t="n">
        <x:f>IF(OR(M8="",N8="",M8=0),"",N8/M8)</x:f>
        <x:v>2.222222222222222e-9</x:v>
      </x:c>
    </x:row>
    <x:row r="9" ht="16.899999618530273" customHeight="1">
      <x:c r="A9" s="94"/>
      <x:c r="B9" s="95" t="s">
        <x:v>102</x:v>
      </x:c>
      <x:c r="C9" s="133">
        <x:v>6</x:v>
      </x:c>
      <x:c r="D9" s="114" t="s">
        <x:v>205</x:v>
      </x:c>
      <x:c r="E9" s="95" t="s">
        <x:v>219</x:v>
      </x:c>
      <x:c r="F9" s="95" t="s">
        <x:v>220</x:v>
      </x:c>
      <x:c r="G9" s="112" t="s">
        <x:v>40</x:v>
      </x:c>
      <x:c r="H9" s="112">
        <x:v>100</x:v>
      </x:c>
      <x:c r="I9" s="110">
        <x:v>96</x:v>
      </x:c>
      <x:c r="J9" s="113">
        <x:v>0.96</x:v>
      </x:c>
      <x:c r="K9" s="1506" t="n">
        <x:f>IF(OR(I9="",J9="",I9=0),"",J9/I9)</x:f>
        <x:v>0.01</x:v>
      </x:c>
      <x:c r="L9" s="125">
        <x:v>600000000</x:v>
      </x:c>
      <x:c r="M9" s="98">
        <x:v>552000000</x:v>
      </x:c>
      <x:c r="N9" s="98">
        <x:v>0.92</x:v>
      </x:c>
      <x:c r="O9" s="1510" t="n">
        <x:f>IF(OR(M9="",N9="",M9=0),"",N9/M9)</x:f>
        <x:v>1.6666666666666667e-9</x:v>
      </x:c>
    </x:row>
    <x:row r="10" ht="17.850000381469727" customHeight="1">
      <x:c r="A10" s="94"/>
      <x:c r="B10" s="95" t="s">
        <x:v>102</x:v>
      </x:c>
      <x:c r="C10" s="130">
        <x:v>7</x:v>
      </x:c>
      <x:c r="D10" s="114" t="s">
        <x:v>206</x:v>
      </x:c>
      <x:c r="E10" s="95" t="s">
        <x:v>219</x:v>
      </x:c>
      <x:c r="F10" s="95" t="s">
        <x:v>220</x:v>
      </x:c>
      <x:c r="G10" s="104" t="s">
        <x:v>40</x:v>
      </x:c>
      <x:c r="H10" s="104">
        <x:v>100</x:v>
      </x:c>
      <x:c r="I10" s="97">
        <x:v>96</x:v>
      </x:c>
      <x:c r="J10" s="110">
        <x:v>0.96</x:v>
      </x:c>
      <x:c r="K10" s="1506" t="n">
        <x:f>IF(OR(I10="",J10="",I10=0),"",J10/I10)</x:f>
        <x:v>0.01</x:v>
      </x:c>
      <x:c r="L10" s="125">
        <x:v>550000000</x:v>
      </x:c>
      <x:c r="M10" s="98">
        <x:v>506000000</x:v>
      </x:c>
      <x:c r="N10" s="98">
        <x:v>0.92</x:v>
      </x:c>
      <x:c r="O10" s="1510" t="n">
        <x:f>IF(OR(M10="",N10="",M10=0),"",N10/M10)</x:f>
        <x:v>1.8181818181818182e-9</x:v>
      </x:c>
    </x:row>
    <x:row r="11">
      <x:c r="K11" s="1512"/>
      <x:c r="O11" s="1512"/>
    </x:row>
    <x:row r="12">
      <x:c r="I12" s="109" t="s">
        <x:v>192</x:v>
      </x:c>
      <x:c r="K12" s="1512"/>
      <x:c r="O12" s="1512"/>
    </x:row>
    <x:row r="20" ht="7.900000095367432" customHeight="1"/>
    <x:row r="21" ht="7.900000095367432" customHeight="1"/>
    <x:row r="22" ht="7.900000095367432" customHeight="1"/>
    <x:row r="23" ht="7.900000095367432" customHeight="1"/>
    <x:row r="24" ht="7.900000095367432" customHeight="1"/>
    <x:row r="25" ht="7.900000095367432" customHeight="1"/>
    <x:row r="26" ht="7.900000095367432" customHeight="1"/>
    <x:row r="27" ht="7.900000095367432" customHeight="1"/>
    <x:row r="28" ht="7.900000095367432" customHeight="1"/>
    <x:row r="29" ht="7.900000095367432" customHeight="1"/>
    <x:row r="30" ht="7.900000095367432" customHeight="1"/>
    <x:row r="31" ht="7.900000095367432" customHeight="1"/>
    <x:row r="32" ht="7.900000095367432" customHeight="1"/>
    <x:row r="33" ht="7.900000095367432" customHeight="1"/>
    <x:row r="34" ht="7.900000095367432" customHeight="1"/>
    <x:row r="35" ht="7.900000095367432" customHeight="1"/>
    <x:row r="36" ht="7.900000095367432" customHeight="1"/>
    <x:row r="37" ht="7.900000095367432" customHeight="1"/>
    <x:row r="38" ht="7.900000095367432" customHeight="1"/>
    <x:row r="39" ht="7.900000095367432" customHeight="1"/>
    <x:row r="40" ht="7.900000095367432" customHeight="1"/>
    <x:row r="41" ht="7.900000095367432" customHeight="1"/>
    <x:row r="42" ht="7.900000095367432" customHeight="1"/>
    <x:row r="43" ht="7.900000095367432" customHeight="1"/>
    <x:row r="44" ht="7.900000095367432" customHeight="1"/>
    <x:row r="45" ht="7.900000095367432" customHeight="1"/>
    <x:row r="46" ht="7.900000095367432" customHeight="1"/>
    <x:row r="47" ht="7.900000095367432" customHeight="1"/>
    <x:row r="48" ht="7.900000095367432" customHeight="1"/>
    <x:row r="49" ht="7.900000095367432" customHeight="1"/>
    <x:row r="50" ht="7.900000095367432" customHeight="1"/>
    <x:row r="51" ht="7.900000095367432" customHeight="1"/>
    <x:row r="52" ht="7.900000095367432" customHeight="1"/>
    <x:row r="53" ht="7.900000095367432" customHeight="1"/>
    <x:row r="54" ht="7.900000095367432" customHeight="1"/>
    <x:row r="55" ht="7.900000095367432" customHeight="1"/>
    <x:row r="56" ht="7.900000095367432" customHeight="1"/>
    <x:row r="57" ht="7.900000095367432" customHeight="1"/>
    <x:row r="58" ht="7.900000095367432" customHeight="1"/>
    <x:row r="59" ht="7.900000095367432" customHeight="1"/>
    <x:row r="60" ht="7.900000095367432" customHeight="1"/>
    <x:row r="61" ht="7.900000095367432" customHeight="1"/>
    <x:row r="62" ht="7.900000095367432" customHeight="1"/>
    <x:row r="63" ht="7.900000095367432" customHeight="1"/>
    <x:row r="64" ht="7.900000095367432" customHeight="1"/>
    <x:row r="65" ht="7.900000095367432" customHeight="1"/>
    <x:row r="66" ht="7.900000095367432" customHeight="1"/>
    <x:row r="67" ht="7.900000095367432" customHeight="1"/>
    <x:row r="68" ht="7.900000095367432" customHeight="1"/>
    <x:row r="69" ht="7.900000095367432" customHeight="1"/>
    <x:row r="70" ht="7.900000095367432" customHeight="1"/>
    <x:row r="71" ht="7.900000095367432" customHeight="1"/>
    <x:row r="72" ht="7.900000095367432" customHeight="1"/>
    <x:row r="73" ht="7.900000095367432" customHeight="1"/>
    <x:row r="74" ht="7.900000095367432" customHeight="1"/>
    <x:row r="75" ht="7.900000095367432" customHeight="1"/>
    <x:row r="76" ht="7.900000095367432" customHeight="1"/>
    <x:row r="77" ht="7.900000095367432" customHeight="1"/>
    <x:row r="78" ht="7.900000095367432" customHeight="1"/>
    <x:row r="79" ht="7.900000095367432" customHeight="1"/>
    <x:row r="80" ht="7.900000095367432" customHeight="1"/>
    <x:row r="81" ht="7.900000095367432" customHeight="1"/>
    <x:row r="82" ht="7.900000095367432" customHeight="1"/>
    <x:row r="83" ht="7.900000095367432" customHeight="1"/>
    <x:row r="84" ht="7.900000095367432" customHeight="1"/>
    <x:row r="85" ht="7.900000095367432" customHeight="1"/>
    <x:row r="86" ht="7.900000095367432" customHeight="1"/>
    <x:row r="87" ht="7.900000095367432" customHeight="1"/>
    <x:row r="88" ht="7.900000095367432" customHeight="1"/>
    <x:row r="89" ht="7.900000095367432" customHeight="1"/>
    <x:row r="90" ht="7.900000095367432" customHeight="1"/>
    <x:row r="91" ht="7.900000095367432" customHeight="1"/>
    <x:row r="92" ht="7.900000095367432" customHeight="1"/>
    <x:row r="93" ht="7.900000095367432" customHeight="1"/>
    <x:row r="94" ht="7.900000095367432" customHeight="1"/>
    <x:row r="95" ht="7.900000095367432" customHeight="1"/>
    <x:row r="96" ht="7.900000095367432" customHeight="1"/>
    <x:row r="97" ht="7.900000095367432" customHeight="1"/>
    <x:row r="98" ht="7.900000095367432" customHeight="1"/>
    <x:row r="99" ht="7.900000095367432" customHeight="1"/>
    <x:row r="100" ht="7.900000095367432" customHeight="1"/>
    <x:row r="101" ht="7.900000095367432" customHeight="1"/>
    <x:row r="102" ht="7.900000095367432" customHeight="1"/>
    <x:row r="103" ht="7.900000095367432" customHeight="1"/>
    <x:row r="104" ht="7.900000095367432" customHeight="1"/>
    <x:row r="105" ht="7.900000095367432" customHeight="1"/>
    <x:row r="106" ht="7.900000095367432" customHeight="1"/>
    <x:row r="107" ht="7.900000095367432" customHeight="1"/>
    <x:row r="108" ht="7.900000095367432" customHeight="1"/>
    <x:row r="109" ht="7.900000095367432" customHeight="1"/>
    <x:row r="110" ht="7.900000095367432" customHeight="1"/>
    <x:row r="111" ht="7.900000095367432" customHeight="1"/>
    <x:row r="112" ht="7.900000095367432" customHeight="1"/>
    <x:row r="113" ht="7.900000095367432" customHeight="1"/>
    <x:row r="114" ht="7.900000095367432" customHeight="1"/>
    <x:row r="115" ht="7.900000095367432" customHeight="1"/>
    <x:row r="116" ht="7.900000095367432" customHeight="1"/>
    <x:row r="117" ht="7.900000095367432" customHeight="1"/>
    <x:row r="118" ht="7.900000095367432" customHeight="1"/>
    <x:row r="119" ht="7.900000095367432" customHeight="1"/>
    <x:row r="120" ht="7.900000095367432" customHeight="1"/>
    <x:row r="121" ht="7.900000095367432" customHeight="1"/>
    <x:row r="122" ht="7.900000095367432" customHeight="1"/>
    <x:row r="123" ht="7.900000095367432" customHeight="1"/>
    <x:row r="124" ht="7.900000095367432" customHeight="1"/>
    <x:row r="125" ht="7.900000095367432" customHeight="1"/>
    <x:row r="126" ht="7.900000095367432" customHeight="1"/>
    <x:row r="127" ht="7.900000095367432" customHeight="1"/>
    <x:row r="128" ht="7.900000095367432" customHeight="1"/>
    <x:row r="129" ht="7.900000095367432" customHeight="1"/>
    <x:row r="130" ht="7.900000095367432" customHeight="1"/>
    <x:row r="131" ht="7.900000095367432" customHeight="1"/>
    <x:row r="132" ht="7.900000095367432" customHeight="1"/>
    <x:row r="133" ht="7.900000095367432" customHeight="1"/>
    <x:row r="134" ht="7.900000095367432" customHeight="1"/>
    <x:row r="135" ht="7.900000095367432" customHeight="1"/>
    <x:row r="136" ht="7.900000095367432" customHeight="1"/>
    <x:row r="137" ht="7.900000095367432" customHeight="1"/>
    <x:row r="138" ht="7.900000095367432" customHeight="1"/>
    <x:row r="139" ht="7.900000095367432" customHeight="1"/>
    <x:row r="140" ht="7.900000095367432" customHeight="1"/>
    <x:row r="141" ht="7.900000095367432" customHeight="1"/>
    <x:row r="142" ht="7.900000095367432" customHeight="1"/>
    <x:row r="143" ht="7.900000095367432" customHeight="1"/>
    <x:row r="144" ht="7.900000095367432" customHeight="1"/>
    <x:row r="145" ht="7.900000095367432" customHeight="1"/>
    <x:row r="146" ht="7.900000095367432" customHeight="1"/>
    <x:row r="147" ht="7.900000095367432" customHeight="1"/>
    <x:row r="148" ht="7.900000095367432" customHeight="1"/>
    <x:row r="149" ht="7.900000095367432" customHeight="1"/>
    <x:row r="150" ht="7.900000095367432" customHeight="1"/>
    <x:row r="151" ht="7.900000095367432" customHeight="1"/>
    <x:row r="152" ht="7.900000095367432" customHeight="1"/>
    <x:row r="153" ht="7.900000095367432" customHeight="1"/>
    <x:row r="154" ht="7.900000095367432" customHeight="1"/>
    <x:row r="155" ht="7.900000095367432" customHeight="1"/>
    <x:row r="156" ht="7.900000095367432" customHeight="1"/>
    <x:row r="157" ht="7.900000095367432" customHeight="1"/>
    <x:row r="158" ht="7.900000095367432" customHeight="1"/>
    <x:row r="159" ht="7.900000095367432" customHeight="1"/>
    <x:row r="160" ht="7.900000095367432" customHeight="1"/>
    <x:row r="161" ht="7.900000095367432" customHeight="1"/>
    <x:row r="162" ht="7.900000095367432" customHeight="1"/>
    <x:row r="163" ht="7.900000095367432" customHeight="1"/>
    <x:row r="164" ht="7.900000095367432" customHeight="1"/>
    <x:row r="165" ht="7.900000095367432" customHeight="1"/>
    <x:row r="166" ht="7.900000095367432" customHeight="1"/>
    <x:row r="167" ht="7.900000095367432" customHeight="1"/>
    <x:row r="168" ht="7.900000095367432" customHeight="1"/>
    <x:row r="169" ht="7.900000095367432" customHeight="1"/>
    <x:row r="170" ht="7.900000095367432" customHeight="1"/>
    <x:row r="171" ht="7.900000095367432" customHeight="1"/>
    <x:row r="172" ht="7.900000095367432" customHeight="1"/>
    <x:row r="173" ht="7.900000095367432" customHeight="1"/>
    <x:row r="174" ht="7.900000095367432" customHeight="1"/>
    <x:row r="175" ht="7.900000095367432" customHeight="1"/>
    <x:row r="176" ht="7.900000095367432" customHeight="1"/>
    <x:row r="177" ht="7.900000095367432" customHeight="1"/>
    <x:row r="178" ht="7.900000095367432" customHeight="1"/>
    <x:row r="179" ht="7.900000095367432" customHeight="1"/>
    <x:row r="180" ht="7.900000095367432" customHeight="1"/>
    <x:row r="181" ht="7.900000095367432" customHeight="1"/>
    <x:row r="182" ht="7.900000095367432" customHeight="1"/>
    <x:row r="183" ht="7.900000095367432" customHeight="1"/>
    <x:row r="184" ht="7.900000095367432" customHeight="1"/>
    <x:row r="185" ht="7.900000095367432" customHeight="1"/>
    <x:row r="186" ht="7.900000095367432" customHeight="1"/>
    <x:row r="187" ht="7.900000095367432" customHeight="1"/>
    <x:row r="188" ht="7.900000095367432" customHeight="1"/>
    <x:row r="189" ht="7.900000095367432" customHeight="1"/>
    <x:row r="190" ht="7.900000095367432" customHeight="1"/>
    <x:row r="191" ht="7.900000095367432" customHeight="1"/>
    <x:row r="192" ht="7.900000095367432" customHeight="1"/>
    <x:row r="193" ht="7.900000095367432" customHeight="1"/>
    <x:row r="194" ht="7.900000095367432" customHeight="1"/>
    <x:row r="195" ht="7.900000095367432" customHeight="1"/>
    <x:row r="196" ht="7.900000095367432" customHeight="1"/>
    <x:row r="197" ht="7.900000095367432" customHeight="1"/>
    <x:row r="198" ht="7.900000095367432" customHeight="1"/>
    <x:row r="199" ht="7.900000095367432" customHeight="1"/>
    <x:row r="200" ht="7.900000095367432" customHeight="1"/>
    <x:row r="201" ht="7.900000095367432" customHeight="1"/>
    <x:row r="202" ht="7.900000095367432" customHeight="1"/>
    <x:row r="203" ht="7.900000095367432" customHeight="1"/>
    <x:row r="204" ht="7.900000095367432" customHeight="1"/>
    <x:row r="205" ht="7.900000095367432" customHeight="1"/>
    <x:row r="206" ht="7.900000095367432" customHeight="1"/>
    <x:row r="207" ht="7.900000095367432" customHeight="1"/>
    <x:row r="208" ht="7.900000095367432" customHeight="1"/>
    <x:row r="209" ht="7.900000095367432" customHeight="1"/>
    <x:row r="210" ht="7.900000095367432" customHeight="1"/>
    <x:row r="211" ht="7.900000095367432" customHeight="1"/>
    <x:row r="212" ht="7.900000095367432" customHeight="1"/>
    <x:row r="213" ht="7.900000095367432" customHeight="1"/>
    <x:row r="214" ht="7.900000095367432" customHeight="1"/>
    <x:row r="215" ht="7.900000095367432" customHeight="1"/>
    <x:row r="216" ht="7.900000095367432" customHeight="1"/>
    <x:row r="217" ht="7.900000095367432" customHeight="1"/>
    <x:row r="218" ht="7.900000095367432" customHeight="1"/>
    <x:row r="219" ht="7.900000095367432" customHeight="1"/>
    <x:row r="220" ht="7.900000095367432" customHeight="1"/>
    <x:row r="221" ht="7.900000095367432" customHeight="1"/>
    <x:row r="222" ht="7.900000095367432" customHeight="1"/>
    <x:row r="223" ht="7.900000095367432" customHeight="1"/>
    <x:row r="224" ht="7.900000095367432" customHeight="1"/>
    <x:row r="225" ht="7.900000095367432" customHeight="1"/>
    <x:row r="226" ht="7.900000095367432" customHeight="1"/>
    <x:row r="227" ht="7.900000095367432" customHeight="1"/>
    <x:row r="228" ht="7.900000095367432" customHeight="1"/>
    <x:row r="229" ht="7.900000095367432" customHeight="1"/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  <x:row r="813" ht="7.900000095367432" customHeight="1"/>
    <x:row r="814" ht="7.900000095367432" customHeight="1"/>
    <x:row r="815" ht="7.900000095367432" customHeight="1"/>
    <x:row r="816" ht="7.900000095367432" customHeight="1"/>
    <x:row r="817" ht="7.900000095367432" customHeight="1"/>
    <x:row r="818" ht="7.900000095367432" customHeight="1"/>
    <x:row r="819" ht="7.900000095367432" customHeight="1"/>
    <x:row r="820" ht="7.900000095367432" customHeight="1"/>
    <x:row r="821" ht="7.900000095367432" customHeight="1"/>
    <x:row r="822" ht="7.900000095367432" customHeight="1"/>
    <x:row r="823" ht="7.900000095367432" customHeight="1"/>
    <x:row r="824" ht="7.900000095367432" customHeight="1"/>
    <x:row r="825" ht="7.900000095367432" customHeight="1"/>
    <x:row r="826" ht="7.900000095367432" customHeight="1"/>
    <x:row r="827" ht="7.900000095367432" customHeight="1"/>
    <x:row r="828" ht="7.900000095367432" customHeight="1"/>
    <x:row r="829" ht="7.900000095367432" customHeight="1"/>
    <x:row r="830" ht="7.900000095367432" customHeight="1"/>
    <x:row r="831" ht="7.900000095367432" customHeight="1"/>
    <x:row r="832" ht="7.900000095367432" customHeight="1"/>
    <x:row r="833" ht="7.900000095367432" customHeight="1"/>
    <x:row r="834" ht="7.900000095367432" customHeight="1"/>
    <x:row r="835" ht="7.900000095367432" customHeight="1"/>
    <x:row r="836" ht="7.900000095367432" customHeight="1"/>
    <x:row r="837" ht="7.900000095367432" customHeight="1"/>
    <x:row r="838" ht="7.900000095367432" customHeight="1"/>
    <x:row r="839" ht="7.900000095367432" customHeight="1"/>
    <x:row r="840" ht="7.900000095367432" customHeight="1"/>
    <x:row r="841" ht="7.900000095367432" customHeight="1"/>
    <x:row r="842" ht="7.900000095367432" customHeight="1"/>
    <x:row r="843" ht="7.900000095367432" customHeight="1"/>
    <x:row r="844" ht="7.900000095367432" customHeight="1"/>
    <x:row r="845" ht="7.900000095367432" customHeight="1"/>
    <x:row r="846" ht="7.900000095367432" customHeight="1"/>
    <x:row r="847" ht="7.900000095367432" customHeight="1"/>
    <x:row r="848" ht="7.900000095367432" customHeight="1"/>
    <x:row r="849" ht="7.900000095367432" customHeight="1"/>
    <x:row r="850" ht="7.900000095367432" customHeight="1"/>
    <x:row r="851" ht="7.900000095367432" customHeight="1"/>
    <x:row r="852" ht="7.900000095367432" customHeight="1"/>
    <x:row r="853" ht="7.900000095367432" customHeight="1"/>
    <x:row r="854" ht="7.900000095367432" customHeight="1"/>
    <x:row r="855" ht="7.900000095367432" customHeight="1"/>
    <x:row r="856" ht="7.900000095367432" customHeight="1"/>
    <x:row r="857" ht="7.900000095367432" customHeight="1"/>
    <x:row r="858" ht="7.900000095367432" customHeight="1"/>
    <x:row r="859" ht="7.900000095367432" customHeight="1"/>
    <x:row r="860" ht="7.900000095367432" customHeight="1"/>
    <x:row r="861" ht="7.900000095367432" customHeight="1"/>
    <x:row r="862" ht="7.900000095367432" customHeight="1"/>
    <x:row r="863" ht="7.900000095367432" customHeight="1"/>
    <x:row r="864" ht="7.900000095367432" customHeight="1"/>
    <x:row r="865" ht="7.900000095367432" customHeight="1"/>
    <x:row r="866" ht="7.900000095367432" customHeight="1"/>
    <x:row r="867" ht="7.900000095367432" customHeight="1"/>
    <x:row r="868" ht="7.900000095367432" customHeight="1"/>
    <x:row r="869" ht="7.900000095367432" customHeight="1"/>
    <x:row r="870" ht="7.900000095367432" customHeight="1"/>
    <x:row r="871" ht="7.900000095367432" customHeight="1"/>
    <x:row r="872" ht="7.900000095367432" customHeight="1"/>
    <x:row r="873" ht="7.900000095367432" customHeight="1"/>
    <x:row r="874" ht="7.900000095367432" customHeight="1"/>
    <x:row r="875" ht="7.900000095367432" customHeight="1"/>
    <x:row r="876" ht="7.900000095367432" customHeight="1"/>
    <x:row r="877" ht="7.900000095367432" customHeight="1"/>
    <x:row r="878" ht="7.900000095367432" customHeight="1"/>
    <x:row r="879" ht="7.900000095367432" customHeight="1"/>
    <x:row r="880" ht="7.900000095367432" customHeight="1"/>
    <x:row r="881" ht="7.900000095367432" customHeight="1"/>
    <x:row r="882" ht="7.900000095367432" customHeight="1"/>
    <x:row r="883" ht="7.900000095367432" customHeight="1"/>
    <x:row r="884" ht="7.900000095367432" customHeight="1"/>
    <x:row r="885" ht="7.900000095367432" customHeight="1"/>
    <x:row r="886" ht="7.900000095367432" customHeight="1"/>
    <x:row r="887" ht="7.900000095367432" customHeight="1"/>
    <x:row r="888" ht="7.900000095367432" customHeight="1"/>
    <x:row r="889" ht="7.900000095367432" customHeight="1"/>
    <x:row r="890" ht="7.900000095367432" customHeight="1"/>
    <x:row r="891" ht="7.900000095367432" customHeight="1"/>
    <x:row r="892" ht="7.900000095367432" customHeight="1"/>
    <x:row r="893" ht="7.900000095367432" customHeight="1"/>
    <x:row r="894" ht="7.900000095367432" customHeight="1"/>
    <x:row r="895" ht="7.900000095367432" customHeight="1"/>
    <x:row r="896" ht="7.900000095367432" customHeight="1"/>
    <x:row r="897" ht="7.900000095367432" customHeight="1"/>
    <x:row r="898" ht="7.900000095367432" customHeight="1"/>
    <x:row r="899" ht="7.900000095367432" customHeight="1"/>
    <x:row r="900" ht="7.900000095367432" customHeight="1"/>
    <x:row r="901" ht="7.900000095367432" customHeight="1"/>
    <x:row r="902" ht="7.900000095367432" customHeight="1"/>
    <x:row r="903" ht="7.900000095367432" customHeight="1"/>
    <x:row r="904" ht="7.900000095367432" customHeight="1"/>
    <x:row r="905" ht="7.900000095367432" customHeight="1"/>
    <x:row r="906" ht="7.900000095367432" customHeight="1"/>
    <x:row r="907" ht="7.900000095367432" customHeight="1"/>
    <x:row r="908" ht="7.900000095367432" customHeight="1"/>
    <x:row r="909" ht="7.900000095367432" customHeight="1"/>
    <x:row r="910" ht="7.900000095367432" customHeight="1"/>
    <x:row r="911" ht="7.900000095367432" customHeight="1"/>
    <x:row r="912" ht="7.900000095367432" customHeight="1"/>
    <x:row r="913" ht="7.900000095367432" customHeight="1"/>
    <x:row r="914" ht="7.900000095367432" customHeight="1"/>
    <x:row r="915" ht="7.900000095367432" customHeight="1"/>
    <x:row r="916" ht="7.900000095367432" customHeight="1"/>
    <x:row r="917" ht="7.900000095367432" customHeight="1"/>
    <x:row r="918" ht="7.900000095367432" customHeight="1"/>
    <x:row r="919" ht="7.900000095367432" customHeight="1"/>
    <x:row r="920" ht="7.900000095367432" customHeight="1"/>
    <x:row r="921" ht="7.900000095367432" customHeight="1"/>
    <x:row r="922" ht="7.900000095367432" customHeight="1"/>
    <x:row r="923" ht="7.900000095367432" customHeight="1"/>
    <x:row r="924" ht="7.900000095367432" customHeight="1"/>
    <x:row r="925" ht="7.900000095367432" customHeight="1"/>
    <x:row r="926" ht="7.900000095367432" customHeight="1"/>
    <x:row r="927" ht="7.900000095367432" customHeight="1"/>
    <x:row r="928" ht="7.900000095367432" customHeight="1"/>
    <x:row r="929" ht="7.900000095367432" customHeight="1"/>
    <x:row r="930" ht="7.900000095367432" customHeight="1"/>
    <x:row r="931" ht="7.900000095367432" customHeight="1"/>
    <x:row r="932" ht="7.900000095367432" customHeight="1"/>
    <x:row r="933" ht="7.900000095367432" customHeight="1"/>
    <x:row r="934" ht="7.900000095367432" customHeight="1"/>
    <x:row r="935" ht="7.900000095367432" customHeight="1"/>
    <x:row r="936" ht="7.900000095367432" customHeight="1"/>
    <x:row r="937" ht="7.900000095367432" customHeight="1"/>
    <x:row r="938" ht="7.900000095367432" customHeight="1"/>
    <x:row r="939" ht="7.900000095367432" customHeight="1"/>
    <x:row r="940" ht="7.900000095367432" customHeight="1"/>
    <x:row r="941" ht="7.900000095367432" customHeight="1"/>
    <x:row r="942" ht="7.900000095367432" customHeight="1"/>
    <x:row r="943" ht="7.900000095367432" customHeight="1"/>
    <x:row r="944" ht="7.900000095367432" customHeight="1"/>
    <x:row r="945" ht="7.900000095367432" customHeight="1"/>
    <x:row r="946" ht="7.900000095367432" customHeight="1"/>
    <x:row r="947" ht="7.900000095367432" customHeight="1"/>
    <x:row r="948" ht="7.900000095367432" customHeight="1"/>
    <x:row r="949" ht="7.900000095367432" customHeight="1"/>
    <x:row r="950" ht="7.900000095367432" customHeight="1"/>
    <x:row r="951" ht="7.900000095367432" customHeight="1"/>
    <x:row r="952" ht="7.900000095367432" customHeight="1"/>
    <x:row r="953" ht="7.900000095367432" customHeight="1"/>
    <x:row r="954" ht="7.900000095367432" customHeight="1"/>
    <x:row r="955" ht="7.900000095367432" customHeight="1"/>
    <x:row r="956" ht="7.900000095367432" customHeight="1"/>
    <x:row r="957" ht="7.900000095367432" customHeight="1"/>
    <x:row r="958" ht="7.900000095367432" customHeight="1"/>
    <x:row r="959" ht="7.900000095367432" customHeight="1"/>
    <x:row r="960" ht="7.900000095367432" customHeight="1"/>
    <x:row r="961" ht="7.900000095367432" customHeight="1"/>
    <x:row r="962" ht="7.900000095367432" customHeight="1"/>
    <x:row r="963" ht="7.900000095367432" customHeight="1"/>
    <x:row r="964" ht="7.900000095367432" customHeight="1"/>
    <x:row r="965" ht="7.900000095367432" customHeight="1"/>
    <x:row r="966" ht="7.900000095367432" customHeight="1"/>
    <x:row r="967" ht="7.900000095367432" customHeight="1"/>
    <x:row r="968" ht="7.900000095367432" customHeight="1"/>
    <x:row r="969" ht="7.900000095367432" customHeight="1"/>
    <x:row r="970" ht="7.900000095367432" customHeight="1"/>
    <x:row r="971" ht="7.900000095367432" customHeight="1"/>
    <x:row r="972" ht="7.900000095367432" customHeight="1"/>
    <x:row r="973" ht="7.900000095367432" customHeight="1"/>
    <x:row r="974" ht="7.900000095367432" customHeight="1"/>
    <x:row r="975" ht="7.900000095367432" customHeight="1"/>
    <x:row r="976" ht="7.900000095367432" customHeight="1"/>
    <x:row r="977" ht="7.900000095367432" customHeight="1"/>
    <x:row r="978" ht="7.900000095367432" customHeight="1"/>
    <x:row r="979" ht="7.900000095367432" customHeight="1"/>
    <x:row r="980" ht="7.900000095367432" customHeight="1"/>
    <x:row r="981" ht="7.900000095367432" customHeight="1"/>
    <x:row r="982" ht="7.900000095367432" customHeight="1"/>
    <x:row r="983" ht="7.900000095367432" customHeight="1"/>
    <x:row r="984" ht="7.900000095367432" customHeight="1"/>
    <x:row r="985" ht="7.900000095367432" customHeight="1"/>
    <x:row r="986" ht="7.900000095367432" customHeight="1"/>
    <x:row r="987" ht="7.900000095367432" customHeight="1"/>
    <x:row r="988" ht="7.900000095367432" customHeight="1"/>
    <x:row r="989" ht="7.900000095367432" customHeight="1"/>
    <x:row r="990" ht="7.900000095367432" customHeight="1"/>
    <x:row r="991" ht="7.900000095367432" customHeight="1"/>
    <x:row r="992" ht="7.900000095367432" customHeight="1"/>
    <x:row r="993" ht="7.900000095367432" customHeight="1"/>
    <x:row r="994" ht="7.900000095367432" customHeight="1"/>
    <x:row r="995" ht="7.900000095367432" customHeight="1"/>
    <x:row r="996" ht="7.900000095367432" customHeight="1"/>
    <x:row r="997" ht="7.900000095367432" customHeight="1"/>
    <x:row r="998" ht="7.900000095367432" customHeight="1"/>
    <x:row r="999" ht="7.900000095367432" customHeight="1"/>
  </x:sheetData>
  <x:mergeCells>
    <x:mergeCell ref="A2:K2"/>
    <x:mergeCell ref="L2:L3"/>
    <x:mergeCell ref="C3:D3"/>
    <x:mergeCell ref="M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2D050"/>
  </x:sheetPr>
  <x:sheetFormatPr defaultColWidth="14.3984375" defaultRowHeight="14.25"/>
  <x:cols>
    <x:col min="1" max="1" width="25.73046875" style="198" customWidth="1"/>
    <x:col min="2" max="2" width="21.73046875" style="198" customWidth="1"/>
    <x:col min="3" max="3" width="3.1328125" style="199" customWidth="1"/>
    <x:col min="4" max="4" width="26.06640625" style="200" customWidth="1"/>
    <x:col min="5" max="5" width="7.6640625" style="199" customWidth="1"/>
    <x:col min="6" max="8" width="4.9296875" style="201" customWidth="1"/>
    <x:col min="9" max="9" width="7.33203125" style="201" customWidth="1"/>
    <x:col min="10" max="13" width="4.9296875" style="198" customWidth="1"/>
    <x:col min="14" max="14" width="13.59765625" style="202" customWidth="1"/>
    <x:col min="15" max="16" width="34.3984375" style="198" customWidth="1"/>
    <x:col min="17" max="17" width="23.46484375" style="198" customWidth="1"/>
    <x:col min="18" max="18" width="14.1328125" style="203" customWidth="1"/>
    <x:col min="19" max="24" width="8.73046875" style="198" customWidth="1"/>
    <x:col min="25" max="16384" width="14.3984375" style="198" customWidth="0"/>
  </x:cols>
  <x:sheetData>
    <x:row r="1" ht="7.150000095367432" customHeight="1">
      <x:c r="A1" s="661" t="s">
        <x:v>221</x:v>
      </x:c>
      <x:c r="B1" s="661"/>
      <x:c r="C1" s="661"/>
      <x:c r="D1" s="661"/>
      <x:c r="E1" s="661"/>
      <x:c r="F1" s="661"/>
      <x:c r="G1" s="661"/>
      <x:c r="H1" s="661"/>
      <x:c r="I1" s="661"/>
      <x:c r="J1" s="661"/>
      <x:c r="K1" s="661"/>
      <x:c r="L1" s="661"/>
      <x:c r="M1" s="661"/>
      <x:c r="N1" s="661"/>
      <x:c r="O1" s="661"/>
      <x:c r="P1" s="661"/>
      <x:c r="Q1" s="661"/>
      <x:c r="R1" s="661"/>
    </x:row>
    <x:row r="2" ht="7.150000095367432" customHeight="1">
      <x:c r="A2" s="661" t="s">
        <x:v>1</x:v>
      </x:c>
      <x:c r="B2" s="661"/>
      <x:c r="C2" s="661"/>
      <x:c r="D2" s="661"/>
      <x:c r="E2" s="661"/>
      <x:c r="F2" s="661"/>
      <x:c r="G2" s="661"/>
      <x:c r="H2" s="661"/>
      <x:c r="I2" s="661"/>
      <x:c r="J2" s="661"/>
      <x:c r="K2" s="661"/>
      <x:c r="L2" s="661"/>
      <x:c r="M2" s="661"/>
      <x:c r="N2" s="661"/>
      <x:c r="O2" s="661"/>
      <x:c r="P2" s="661"/>
      <x:c r="Q2" s="661"/>
      <x:c r="R2" s="661"/>
    </x:row>
    <x:row r="3" ht="7.150000095367432" customHeight="1">
      <x:c r="A3" s="661" t="s">
        <x:v>46</x:v>
      </x:c>
      <x:c r="B3" s="661"/>
      <x:c r="C3" s="661"/>
      <x:c r="D3" s="661"/>
      <x:c r="E3" s="661"/>
      <x:c r="F3" s="661"/>
      <x:c r="G3" s="661"/>
      <x:c r="H3" s="661"/>
      <x:c r="I3" s="661"/>
      <x:c r="J3" s="661"/>
      <x:c r="K3" s="661"/>
      <x:c r="L3" s="661"/>
      <x:c r="M3" s="661"/>
      <x:c r="N3" s="661"/>
      <x:c r="O3" s="661"/>
      <x:c r="P3" s="661"/>
      <x:c r="Q3" s="661"/>
      <x:c r="R3" s="661"/>
    </x:row>
    <x:row r="4" ht="7.150000095367432" customHeight="1"/>
    <x:row r="5" ht="10.5" customHeight="1">
      <x:c r="A5" s="662" t="s">
        <x:v>222</x:v>
      </x:c>
      <x:c r="B5" s="663"/>
      <x:c r="C5" s="663"/>
      <x:c r="D5" s="663"/>
      <x:c r="E5" s="663"/>
      <x:c r="F5" s="663"/>
      <x:c r="G5" s="663"/>
      <x:c r="H5" s="663"/>
      <x:c r="I5" s="663"/>
      <x:c r="J5" s="663"/>
      <x:c r="K5" s="663"/>
      <x:c r="L5" s="663"/>
      <x:c r="M5" s="664"/>
      <x:c r="N5" s="665" t="s">
        <x:v>223</x:v>
      </x:c>
      <x:c r="O5" s="668" t="s">
        <x:v>224</x:v>
      </x:c>
      <x:c r="P5" s="668" t="s">
        <x:v>225</x:v>
      </x:c>
      <x:c r="Q5" s="668" t="s">
        <x:v>226</x:v>
      </x:c>
      <x:c r="R5" s="671" t="s">
        <x:v>227</x:v>
      </x:c>
      <x:c r="S5" s="204"/>
      <x:c r="T5" s="204"/>
      <x:c r="U5" s="204"/>
      <x:c r="V5" s="204"/>
      <x:c r="W5" s="204"/>
      <x:c r="X5" s="204"/>
    </x:row>
    <x:row r="6" ht="9.949999809265137" customHeight="1">
      <x:c r="A6" s="668" t="s">
        <x:v>48</x:v>
      </x:c>
      <x:c r="B6" s="668" t="s">
        <x:v>228</x:v>
      </x:c>
      <x:c r="C6" s="674" t="s">
        <x:v>229</x:v>
      </x:c>
      <x:c r="D6" s="675"/>
      <x:c r="E6" s="668" t="s">
        <x:v>230</x:v>
      </x:c>
      <x:c r="F6" s="678" t="s">
        <x:v>231</x:v>
      </x:c>
      <x:c r="G6" s="679"/>
      <x:c r="H6" s="679"/>
      <x:c r="I6" s="679"/>
      <x:c r="J6" s="680" t="s">
        <x:v>232</x:v>
      </x:c>
      <x:c r="K6" s="679"/>
      <x:c r="L6" s="679"/>
      <x:c r="M6" s="681"/>
      <x:c r="N6" s="666"/>
      <x:c r="O6" s="669"/>
      <x:c r="P6" s="669"/>
      <x:c r="Q6" s="669"/>
      <x:c r="R6" s="672"/>
    </x:row>
    <x:row r="7" ht="10.149999618530273" customHeight="1">
      <x:c r="A7" s="670"/>
      <x:c r="B7" s="670"/>
      <x:c r="C7" s="676"/>
      <x:c r="D7" s="677"/>
      <x:c r="E7" s="670"/>
      <x:c r="F7" s="206" t="s">
        <x:v>57</x:v>
      </x:c>
      <x:c r="G7" s="206" t="s">
        <x:v>58</x:v>
      </x:c>
      <x:c r="H7" s="206" t="s">
        <x:v>59</x:v>
      </x:c>
      <x:c r="I7" s="205" t="s">
        <x:v>60</x:v>
      </x:c>
      <x:c r="J7" s="207" t="s">
        <x:v>57</x:v>
      </x:c>
      <x:c r="K7" s="206" t="s">
        <x:v>58</x:v>
      </x:c>
      <x:c r="L7" s="206" t="s">
        <x:v>59</x:v>
      </x:c>
      <x:c r="M7" s="206" t="s">
        <x:v>60</x:v>
      </x:c>
      <x:c r="N7" s="667"/>
      <x:c r="O7" s="670"/>
      <x:c r="P7" s="670"/>
      <x:c r="Q7" s="670"/>
      <x:c r="R7" s="673"/>
    </x:row>
    <x:row r="8" ht="7.150000095367432" customHeight="1">
      <x:c r="A8" s="208">
        <x:v>1</x:v>
      </x:c>
      <x:c r="B8" s="209">
        <x:v>2</x:v>
      </x:c>
      <x:c r="C8" s="682">
        <x:v>3</x:v>
      </x:c>
      <x:c r="D8" s="683"/>
      <x:c r="E8" s="210">
        <x:v>4</x:v>
      </x:c>
      <x:c r="F8" s="211">
        <x:v>5</x:v>
      </x:c>
      <x:c r="G8" s="211">
        <x:v>6</x:v>
      </x:c>
      <x:c r="H8" s="211">
        <x:v>7</x:v>
      </x:c>
      <x:c r="I8" s="211">
        <x:v>8</x:v>
      </x:c>
      <x:c r="J8" s="211">
        <x:v>9</x:v>
      </x:c>
      <x:c r="K8" s="211">
        <x:v>10</x:v>
      </x:c>
      <x:c r="L8" s="211">
        <x:v>11</x:v>
      </x:c>
      <x:c r="M8" s="211">
        <x:v>12</x:v>
      </x:c>
      <x:c r="N8" s="212"/>
      <x:c r="O8" s="211">
        <x:v>13</x:v>
      </x:c>
      <x:c r="P8" s="211">
        <x:v>14</x:v>
      </x:c>
      <x:c r="Q8" s="211">
        <x:v>15</x:v>
      </x:c>
      <x:c r="R8" s="211">
        <x:v>16</x:v>
      </x:c>
      <x:c r="S8" s="197"/>
    </x:row>
    <x:row r="9" ht="18.399999618530273" customHeight="1">
      <x:c r="A9" s="658" t="s">
        <x:v>63</x:v>
      </x:c>
      <x:c r="B9" s="359" t="s">
        <x:v>233</x:v>
      </x:c>
      <x:c r="C9" s="360" t="s">
        <x:v>233</x:v>
      </x:c>
      <x:c r="D9" s="361" t="s">
        <x:v>234</x:v>
      </x:c>
      <x:c r="E9" s="362" t="s">
        <x:v>17</x:v>
      </x:c>
      <x:c r="F9" s="362">
        <x:v>3</x:v>
      </x:c>
      <x:c r="G9" s="362">
        <x:v>3</x:v>
      </x:c>
      <x:c r="H9" s="362">
        <x:v>3</x:v>
      </x:c>
      <x:c r="I9" s="363">
        <x:v>3</x:v>
      </x:c>
      <x:c r="J9" s="364">
        <x:v>3</x:v>
      </x:c>
      <x:c r="K9" s="365">
        <x:v>3</x:v>
      </x:c>
      <x:c r="L9" s="365">
        <x:v>3</x:v>
      </x:c>
      <x:c r="M9" s="365">
        <x:v>3</x:v>
      </x:c>
      <x:c r="N9" s="366"/>
      <x:c r="O9" s="362" t="s">
        <x:v>235</x:v>
      </x:c>
      <x:c r="P9" s="362" t="s">
        <x:v>236</x:v>
      </x:c>
      <x:c r="Q9" s="367" t="s">
        <x:v>237</x:v>
      </x:c>
      <x:c r="R9" s="368" t="s">
        <x:v>70</x:v>
      </x:c>
    </x:row>
    <x:row r="10" ht="3.200000047683716" customHeight="1">
      <x:c r="A10" s="659"/>
      <x:c r="B10" s="219"/>
      <x:c r="C10" s="220"/>
      <x:c r="D10" s="221"/>
      <x:c r="E10" s="213"/>
      <x:c r="F10" s="213"/>
      <x:c r="G10" s="213"/>
      <x:c r="H10" s="213"/>
      <x:c r="I10" s="214"/>
      <x:c r="J10" s="215"/>
      <x:c r="K10" s="216"/>
      <x:c r="L10" s="216"/>
      <x:c r="M10" s="216"/>
      <x:c r="N10" s="222"/>
      <x:c r="O10" s="223"/>
      <x:c r="P10" s="223"/>
      <x:c r="Q10" s="224"/>
      <x:c r="R10" s="225"/>
    </x:row>
    <x:row r="11" s="232" customFormat="1" ht="18.600000381469727" customHeight="1">
      <x:c r="A11" s="659"/>
      <x:c r="B11" s="226" t="s">
        <x:v>238</x:v>
      </x:c>
      <x:c r="C11" s="220" t="s">
        <x:v>233</x:v>
      </x:c>
      <x:c r="D11" s="226" t="s">
        <x:v>239</x:v>
      </x:c>
      <x:c r="E11" s="213" t="s">
        <x:v>40</x:v>
      </x:c>
      <x:c r="F11" s="227">
        <x:v>0.02</x:v>
      </x:c>
      <x:c r="G11" s="227">
        <x:v>0.05</x:v>
      </x:c>
      <x:c r="H11" s="227">
        <x:v>0.1</x:v>
      </x:c>
      <x:c r="I11" s="228">
        <x:v>0.2</x:v>
      </x:c>
      <x:c r="J11" s="229">
        <x:v>0.02</x:v>
      </x:c>
      <x:c r="K11" s="230">
        <x:v>0.05</x:v>
      </x:c>
      <x:c r="L11" s="230">
        <x:v>0.09</x:v>
      </x:c>
      <x:c r="M11" s="230">
        <x:v>0.18</x:v>
      </x:c>
      <x:c r="N11" s="666" t="s">
        <x:v>187</x:v>
      </x:c>
      <x:c r="O11" s="223" t="s">
        <x:v>240</x:v>
      </x:c>
      <x:c r="P11" s="223" t="s">
        <x:v>241</x:v>
      </x:c>
      <x:c r="Q11" s="224" t="s">
        <x:v>242</x:v>
      </x:c>
      <x:c r="R11" s="686" t="s">
        <x:v>70</x:v>
      </x:c>
    </x:row>
    <x:row r="12" s="232" customFormat="1" ht="24.950000762939453" customHeight="1">
      <x:c r="A12" s="659"/>
      <x:c r="B12" s="233"/>
      <x:c r="C12" s="220" t="s">
        <x:v>233</x:v>
      </x:c>
      <x:c r="D12" s="226" t="s">
        <x:v>107</x:v>
      </x:c>
      <x:c r="E12" s="213" t="s">
        <x:v>40</x:v>
      </x:c>
      <x:c r="F12" s="227">
        <x:v>0.02</x:v>
      </x:c>
      <x:c r="G12" s="234">
        <x:v>0.05</x:v>
      </x:c>
      <x:c r="H12" s="227">
        <x:v>0.1</x:v>
      </x:c>
      <x:c r="I12" s="228">
        <x:v>0.2</x:v>
      </x:c>
      <x:c r="J12" s="229">
        <x:v>0.02</x:v>
      </x:c>
      <x:c r="K12" s="230">
        <x:v>0.05</x:v>
      </x:c>
      <x:c r="L12" s="230">
        <x:v>0.09</x:v>
      </x:c>
      <x:c r="M12" s="230">
        <x:v>0.18</x:v>
      </x:c>
      <x:c r="N12" s="666"/>
      <x:c r="O12" s="223" t="s">
        <x:v>243</x:v>
      </x:c>
      <x:c r="P12" s="223" t="s">
        <x:v>244</x:v>
      </x:c>
      <x:c r="Q12" s="224" t="s">
        <x:v>245</x:v>
      </x:c>
      <x:c r="R12" s="686" t="s">
        <x:v>80</x:v>
      </x:c>
    </x:row>
    <x:row r="13" s="232" customFormat="1" ht="9.949999809265137" customHeight="1">
      <x:c r="A13" s="659"/>
      <x:c r="B13" s="233"/>
      <x:c r="C13" s="220" t="s">
        <x:v>233</x:v>
      </x:c>
      <x:c r="D13" s="226" t="s">
        <x:v>246</x:v>
      </x:c>
      <x:c r="E13" s="213" t="s">
        <x:v>247</x:v>
      </x:c>
      <x:c r="F13" s="227">
        <x:v>55</x:v>
      </x:c>
      <x:c r="G13" s="227">
        <x:v>57</x:v>
      </x:c>
      <x:c r="H13" s="227">
        <x:v>59</x:v>
      </x:c>
      <x:c r="I13" s="228">
        <x:v>60</x:v>
      </x:c>
      <x:c r="J13" s="229">
        <x:v>52</x:v>
      </x:c>
      <x:c r="K13" s="230">
        <x:v>56</x:v>
      </x:c>
      <x:c r="L13" s="230">
        <x:v>58</x:v>
      </x:c>
      <x:c r="M13" s="230">
        <x:v>60</x:v>
      </x:c>
      <x:c r="N13" s="666"/>
      <x:c r="O13" s="223" t="s">
        <x:v>248</x:v>
      </x:c>
      <x:c r="P13" s="223" t="s">
        <x:v>249</x:v>
      </x:c>
      <x:c r="Q13" s="224" t="s">
        <x:v>250</x:v>
      </x:c>
      <x:c r="R13" s="686" t="s">
        <x:v>75</x:v>
      </x:c>
    </x:row>
    <x:row r="14" s="232" customFormat="1" ht="16.700000762939453" customHeight="1">
      <x:c r="A14" s="659"/>
      <x:c r="B14" s="233"/>
      <x:c r="C14" s="220" t="s">
        <x:v>233</x:v>
      </x:c>
      <x:c r="D14" s="226" t="s">
        <x:v>251</x:v>
      </x:c>
      <x:c r="E14" s="213" t="s">
        <x:v>22</x:v>
      </x:c>
      <x:c r="F14" s="227">
        <x:v>70</x:v>
      </x:c>
      <x:c r="G14" s="227">
        <x:v>71</x:v>
      </x:c>
      <x:c r="H14" s="227">
        <x:v>72</x:v>
      </x:c>
      <x:c r="I14" s="228">
        <x:v>73</x:v>
      </x:c>
      <x:c r="J14" s="229">
        <x:v>69</x:v>
      </x:c>
      <x:c r="K14" s="230">
        <x:v>70</x:v>
      </x:c>
      <x:c r="L14" s="230">
        <x:v>71</x:v>
      </x:c>
      <x:c r="M14" s="230">
        <x:v>73</x:v>
      </x:c>
      <x:c r="N14" s="666"/>
      <x:c r="O14" s="223" t="s">
        <x:v>252</x:v>
      </x:c>
      <x:c r="P14" s="223" t="s">
        <x:v>253</x:v>
      </x:c>
      <x:c r="Q14" s="224" t="s">
        <x:v>254</x:v>
      </x:c>
      <x:c r="R14" s="686" t="s">
        <x:v>70</x:v>
      </x:c>
    </x:row>
    <x:row r="15" s="232" customFormat="1" ht="13.350000381469727" customHeight="1">
      <x:c r="A15" s="659"/>
      <x:c r="B15" s="233"/>
      <x:c r="C15" s="220"/>
      <x:c r="D15" s="226"/>
      <x:c r="E15" s="213"/>
      <x:c r="F15" s="227"/>
      <x:c r="G15" s="227"/>
      <x:c r="H15" s="227"/>
      <x:c r="I15" s="228"/>
      <x:c r="J15" s="229"/>
      <x:c r="K15" s="230"/>
      <x:c r="L15" s="230"/>
      <x:c r="M15" s="230"/>
      <x:c r="N15" s="235"/>
      <x:c r="O15" s="223"/>
      <x:c r="P15" s="223"/>
      <x:c r="Q15" s="224"/>
      <x:c r="R15" s="225"/>
    </x:row>
    <x:row r="16" ht="15.399999618530273" customHeight="1">
      <x:c r="A16" s="659"/>
      <x:c r="B16" s="226" t="s">
        <x:v>255</x:v>
      </x:c>
      <x:c r="C16" s="220" t="s">
        <x:v>233</x:v>
      </x:c>
      <x:c r="D16" s="221" t="s">
        <x:v>256</x:v>
      </x:c>
      <x:c r="E16" s="213" t="s">
        <x:v>31</x:v>
      </x:c>
      <x:c r="F16" s="213">
        <x:v>4</x:v>
      </x:c>
      <x:c r="G16" s="213">
        <x:v>4</x:v>
      </x:c>
      <x:c r="H16" s="213">
        <x:v>4</x:v>
      </x:c>
      <x:c r="I16" s="214">
        <x:v>4</x:v>
      </x:c>
      <x:c r="J16" s="215">
        <x:v>4</x:v>
      </x:c>
      <x:c r="K16" s="216">
        <x:v>4</x:v>
      </x:c>
      <x:c r="L16" s="216">
        <x:v>4</x:v>
      </x:c>
      <x:c r="M16" s="216">
        <x:v>4</x:v>
      </x:c>
      <x:c r="N16" s="236" t="s">
        <x:v>84</x:v>
      </x:c>
      <x:c r="O16" s="223" t="s">
        <x:v>257</x:v>
      </x:c>
      <x:c r="P16" s="223" t="s">
        <x:v>258</x:v>
      </x:c>
      <x:c r="Q16" s="224" t="s">
        <x:v>259</x:v>
      </x:c>
      <x:c r="R16" s="231" t="s">
        <x:v>87</x:v>
      </x:c>
    </x:row>
    <x:row r="17" ht="11.449999809265137" customHeight="1">
      <x:c r="A17" s="659"/>
      <x:c r="B17" s="233"/>
      <x:c r="C17" s="220"/>
      <x:c r="D17" s="237"/>
      <x:c r="E17" s="213"/>
      <x:c r="F17" s="213"/>
      <x:c r="G17" s="213"/>
      <x:c r="H17" s="213"/>
      <x:c r="I17" s="214"/>
      <x:c r="J17" s="215"/>
      <x:c r="K17" s="216"/>
      <x:c r="L17" s="216"/>
      <x:c r="M17" s="216"/>
      <x:c r="N17" s="222"/>
      <x:c r="O17" s="223"/>
      <x:c r="P17" s="223"/>
      <x:c r="Q17" s="224"/>
      <x:c r="R17" s="225"/>
    </x:row>
    <x:row r="18" ht="12.399999618530273" customHeight="1">
      <x:c r="A18" s="659"/>
      <x:c r="B18" s="233" t="s">
        <x:v>260</x:v>
      </x:c>
      <x:c r="C18" s="220" t="s">
        <x:v>233</x:v>
      </x:c>
      <x:c r="D18" s="226" t="s">
        <x:v>18</x:v>
      </x:c>
      <x:c r="E18" s="213" t="s">
        <x:v>22</x:v>
      </x:c>
      <x:c r="F18" s="227">
        <x:v>2.8</x:v>
      </x:c>
      <x:c r="G18" s="227">
        <x:v>2.9</x:v>
      </x:c>
      <x:c r="H18" s="227">
        <x:v>3</x:v>
      </x:c>
      <x:c r="I18" s="238">
        <x:v>3</x:v>
      </x:c>
      <x:c r="J18" s="215">
        <x:v>2.8</x:v>
      </x:c>
      <x:c r="K18" s="216">
        <x:v>2.9</x:v>
      </x:c>
      <x:c r="L18" s="216">
        <x:v>3</x:v>
      </x:c>
      <x:c r="M18" s="216">
        <x:v>3</x:v>
      </x:c>
      <x:c r="N18" s="687" t="s">
        <x:v>187</x:v>
      </x:c>
      <x:c r="O18" s="223" t="s">
        <x:v>261</x:v>
      </x:c>
      <x:c r="P18" s="223" t="s">
        <x:v>262</x:v>
      </x:c>
      <x:c r="Q18" s="224" t="s">
        <x:v>263</x:v>
      </x:c>
      <x:c r="R18" s="686" t="s">
        <x:v>80</x:v>
      </x:c>
    </x:row>
    <x:row r="19" ht="10.699999809265137" customHeight="1">
      <x:c r="A19" s="659"/>
      <x:c r="B19" s="233"/>
      <x:c r="C19" s="220"/>
      <x:c r="D19" s="226"/>
      <x:c r="E19" s="213"/>
      <x:c r="F19" s="227"/>
      <x:c r="G19" s="227"/>
      <x:c r="H19" s="227"/>
      <x:c r="I19" s="238"/>
      <x:c r="J19" s="215"/>
      <x:c r="K19" s="216"/>
      <x:c r="L19" s="216"/>
      <x:c r="M19" s="216"/>
      <x:c r="N19" s="687"/>
      <x:c r="O19" s="223"/>
      <x:c r="P19" s="223"/>
      <x:c r="Q19" s="224"/>
      <x:c r="R19" s="686"/>
    </x:row>
    <x:row r="20" ht="13.5" customHeight="1">
      <x:c r="A20" s="659"/>
      <x:c r="B20" s="233"/>
      <x:c r="C20" s="220" t="s">
        <x:v>233</x:v>
      </x:c>
      <x:c r="D20" s="226" t="s">
        <x:v>264</x:v>
      </x:c>
      <x:c r="E20" s="213" t="s">
        <x:v>247</x:v>
      </x:c>
      <x:c r="F20" s="227">
        <x:v>2.8</x:v>
      </x:c>
      <x:c r="G20" s="227">
        <x:v>2.9</x:v>
      </x:c>
      <x:c r="H20" s="227">
        <x:v>3</x:v>
      </x:c>
      <x:c r="I20" s="238">
        <x:v>3</x:v>
      </x:c>
      <x:c r="J20" s="215">
        <x:v>2.8</x:v>
      </x:c>
      <x:c r="K20" s="216">
        <x:v>2.9</x:v>
      </x:c>
      <x:c r="L20" s="216">
        <x:v>3</x:v>
      </x:c>
      <x:c r="M20" s="216">
        <x:v>3</x:v>
      </x:c>
      <x:c r="N20" s="687"/>
      <x:c r="O20" s="223" t="s">
        <x:v>265</x:v>
      </x:c>
      <x:c r="P20" s="223" t="s">
        <x:v>266</x:v>
      </x:c>
      <x:c r="Q20" s="224" t="s">
        <x:v>267</x:v>
      </x:c>
      <x:c r="R20" s="686" t="s">
        <x:v>80</x:v>
      </x:c>
    </x:row>
    <x:row r="21" ht="10.699999809265137" customHeight="1">
      <x:c r="A21" s="659"/>
      <x:c r="B21" s="233"/>
      <x:c r="C21" s="220"/>
      <x:c r="D21" s="226"/>
      <x:c r="E21" s="213"/>
      <x:c r="F21" s="227"/>
      <x:c r="G21" s="227"/>
      <x:c r="H21" s="227"/>
      <x:c r="I21" s="238"/>
      <x:c r="J21" s="215"/>
      <x:c r="K21" s="216"/>
      <x:c r="L21" s="216"/>
      <x:c r="M21" s="216"/>
      <x:c r="N21" s="222"/>
      <x:c r="O21" s="223"/>
      <x:c r="P21" s="223"/>
      <x:c r="Q21" s="224"/>
      <x:c r="R21" s="225"/>
    </x:row>
    <x:row r="22" ht="23.850000381469727" customHeight="1">
      <x:c r="A22" s="659"/>
      <x:c r="B22" s="226" t="s">
        <x:v>115</x:v>
      </x:c>
      <x:c r="C22" s="220" t="s">
        <x:v>233</x:v>
      </x:c>
      <x:c r="D22" s="226" t="s">
        <x:v>41</x:v>
      </x:c>
      <x:c r="E22" s="239" t="s">
        <x:v>31</x:v>
      </x:c>
      <x:c r="F22" s="213">
        <x:v>2.8</x:v>
      </x:c>
      <x:c r="G22" s="213">
        <x:v>2.9</x:v>
      </x:c>
      <x:c r="H22" s="213">
        <x:v>3</x:v>
      </x:c>
      <x:c r="I22" s="240">
        <x:v>3</x:v>
      </x:c>
      <x:c r="J22" s="215">
        <x:v>2.8</x:v>
      </x:c>
      <x:c r="K22" s="216">
        <x:v>2.9</x:v>
      </x:c>
      <x:c r="L22" s="216">
        <x:v>3</x:v>
      </x:c>
      <x:c r="M22" s="216">
        <x:v>3</x:v>
      </x:c>
      <x:c r="N22" s="241" t="s">
        <x:v>187</x:v>
      </x:c>
      <x:c r="O22" s="223" t="s">
        <x:v>268</x:v>
      </x:c>
      <x:c r="P22" s="223" t="s">
        <x:v>269</x:v>
      </x:c>
      <x:c r="Q22" s="242" t="s">
        <x:v>270</x:v>
      </x:c>
      <x:c r="R22" s="231" t="s">
        <x:v>75</x:v>
      </x:c>
    </x:row>
    <x:row r="23" ht="9.949999809265137" customHeight="1">
      <x:c r="A23" s="659"/>
      <x:c r="B23" s="226"/>
      <x:c r="C23" s="220"/>
      <x:c r="D23" s="226"/>
      <x:c r="E23" s="239"/>
      <x:c r="F23" s="213"/>
      <x:c r="G23" s="213"/>
      <x:c r="H23" s="213"/>
      <x:c r="I23" s="240"/>
      <x:c r="J23" s="215"/>
      <x:c r="K23" s="216"/>
      <x:c r="L23" s="216"/>
      <x:c r="M23" s="216"/>
      <x:c r="N23" s="241"/>
      <x:c r="O23" s="223"/>
      <x:c r="P23" s="223"/>
      <x:c r="Q23" s="242"/>
      <x:c r="R23" s="225"/>
    </x:row>
    <x:row r="24" ht="19.899999618530273" customHeight="1">
      <x:c r="A24" s="659"/>
      <x:c r="B24" s="243" t="s">
        <x:v>120</x:v>
      </x:c>
      <x:c r="C24" s="220" t="s">
        <x:v>233</x:v>
      </x:c>
      <x:c r="D24" s="221" t="s">
        <x:v>36</x:v>
      </x:c>
      <x:c r="E24" s="239" t="s">
        <x:v>40</x:v>
      </x:c>
      <x:c r="F24" s="213">
        <x:v>20</x:v>
      </x:c>
      <x:c r="G24" s="213">
        <x:v>20</x:v>
      </x:c>
      <x:c r="H24" s="213">
        <x:v>22</x:v>
      </x:c>
      <x:c r="I24" s="214">
        <x:v>23</x:v>
      </x:c>
      <x:c r="J24" s="215">
        <x:v>18</x:v>
      </x:c>
      <x:c r="K24" s="216">
        <x:v>20</x:v>
      </x:c>
      <x:c r="L24" s="216">
        <x:v>22</x:v>
      </x:c>
      <x:c r="M24" s="216">
        <x:v>25</x:v>
      </x:c>
      <x:c r="N24" s="241" t="s">
        <x:v>84</x:v>
      </x:c>
      <x:c r="O24" s="223" t="s">
        <x:v>271</x:v>
      </x:c>
      <x:c r="P24" s="223" t="s">
        <x:v>272</x:v>
      </x:c>
      <x:c r="Q24" s="242" t="s">
        <x:v>273</x:v>
      </x:c>
      <x:c r="R24" s="231" t="s">
        <x:v>75</x:v>
      </x:c>
    </x:row>
    <x:row r="25">
      <x:c r="A25" s="660"/>
      <x:c r="B25" s="244"/>
      <x:c r="C25" s="245"/>
      <x:c r="D25" s="246"/>
      <x:c r="E25" s="247"/>
      <x:c r="F25" s="248"/>
      <x:c r="G25" s="248"/>
      <x:c r="H25" s="248"/>
      <x:c r="I25" s="249"/>
      <x:c r="J25" s="250"/>
      <x:c r="K25" s="251"/>
      <x:c r="L25" s="251"/>
      <x:c r="M25" s="251"/>
      <x:c r="N25" s="252"/>
      <x:c r="O25" s="253"/>
      <x:c r="P25" s="253"/>
      <x:c r="Q25" s="251"/>
      <x:c r="R25" s="254"/>
    </x:row>
    <x:row r="26" ht="7.150000095367432" customHeight="1"/>
    <x:row r="27" ht="7.150000095367432" customHeight="1"/>
    <x:row r="28" ht="10.5" customHeight="1">
      <x:c r="M28" s="688" t="s">
        <x:v>274</x:v>
      </x:c>
      <x:c r="N28" s="689"/>
      <x:c r="O28" s="689"/>
      <x:c r="P28" s="689"/>
      <x:c r="Q28" s="689"/>
      <x:c r="R28" s="689"/>
    </x:row>
    <x:row r="29" ht="7.150000095367432" customHeight="1">
      <x:c r="M29" s="255"/>
      <x:c r="N29" s="255"/>
      <x:c r="O29" s="255"/>
      <x:c r="P29" s="255"/>
      <x:c r="Q29" s="255"/>
      <x:c r="R29" s="256"/>
    </x:row>
    <x:row r="30" ht="7.150000095367432" customHeight="1">
      <x:c r="M30" s="255"/>
      <x:c r="N30" s="255"/>
      <x:c r="O30" s="255"/>
      <x:c r="P30" s="255"/>
      <x:c r="Q30" s="255"/>
      <x:c r="R30" s="256"/>
    </x:row>
    <x:row r="31" ht="10.899999618530273" customHeight="1">
      <x:c r="M31" s="255"/>
      <x:c r="N31" s="255"/>
      <x:c r="O31" s="255"/>
      <x:c r="P31" s="255"/>
      <x:c r="Q31" s="255"/>
      <x:c r="R31" s="256"/>
    </x:row>
    <x:row r="32" ht="15.75">
      <x:c r="M32" s="690" t="s">
        <x:v>275</x:v>
      </x:c>
      <x:c r="N32" s="691"/>
      <x:c r="O32" s="691"/>
      <x:c r="P32" s="691"/>
      <x:c r="Q32" s="691"/>
      <x:c r="R32" s="691"/>
    </x:row>
    <x:row r="33" ht="15.75">
      <x:c r="M33" s="684" t="s">
        <x:v>276</x:v>
      </x:c>
      <x:c r="N33" s="685"/>
      <x:c r="O33" s="685"/>
      <x:c r="P33" s="685"/>
      <x:c r="Q33" s="685"/>
      <x:c r="R33" s="685"/>
    </x:row>
    <x:row r="34" ht="15.75">
      <x:c r="M34" s="684" t="s">
        <x:v>277</x:v>
      </x:c>
      <x:c r="N34" s="685"/>
      <x:c r="O34" s="685"/>
      <x:c r="P34" s="685"/>
      <x:c r="Q34" s="685"/>
      <x:c r="R34" s="685"/>
    </x:row>
    <x:row r="35" ht="7.150000095367432" customHeight="1"/>
    <x:row r="36" ht="7.150000095367432" customHeight="1"/>
    <x:row r="37" ht="7.150000095367432" customHeight="1"/>
    <x:row r="38" ht="7.150000095367432" customHeight="1"/>
    <x:row r="39" ht="7.150000095367432" customHeight="1"/>
    <x:row r="40" ht="7.150000095367432" customHeight="1"/>
    <x:row r="41" ht="7.150000095367432" customHeight="1"/>
    <x:row r="42" ht="7.150000095367432" customHeight="1"/>
    <x:row r="43" ht="7.150000095367432" customHeight="1"/>
    <x:row r="44" ht="7.150000095367432" customHeight="1"/>
    <x:row r="45" ht="7.150000095367432" customHeight="1"/>
    <x:row r="46" ht="7.150000095367432" customHeight="1"/>
    <x:row r="47" ht="7.150000095367432" customHeight="1"/>
    <x:row r="48" ht="7.150000095367432" customHeight="1"/>
    <x:row r="49" ht="7.150000095367432" customHeight="1"/>
    <x:row r="50" ht="7.150000095367432" customHeight="1"/>
    <x:row r="51" ht="7.150000095367432" customHeight="1"/>
    <x:row r="52" ht="7.150000095367432" customHeight="1"/>
    <x:row r="53" ht="7.150000095367432" customHeight="1"/>
    <x:row r="54" ht="7.150000095367432" customHeight="1"/>
    <x:row r="55" ht="7.150000095367432" customHeight="1"/>
    <x:row r="56" ht="7.150000095367432" customHeight="1"/>
    <x:row r="57" ht="7.150000095367432" customHeight="1"/>
    <x:row r="58" ht="7.150000095367432" customHeight="1"/>
    <x:row r="59" ht="7.150000095367432" customHeight="1"/>
    <x:row r="60" ht="7.150000095367432" customHeight="1"/>
    <x:row r="61" ht="7.150000095367432" customHeight="1"/>
    <x:row r="62" ht="7.150000095367432" customHeight="1"/>
    <x:row r="63" ht="7.150000095367432" customHeight="1"/>
    <x:row r="64" ht="7.150000095367432" customHeight="1"/>
    <x:row r="65" ht="7.150000095367432" customHeight="1"/>
    <x:row r="66" ht="7.150000095367432" customHeight="1"/>
    <x:row r="67" ht="7.150000095367432" customHeight="1"/>
    <x:row r="68" ht="7.150000095367432" customHeight="1"/>
    <x:row r="69" ht="7.150000095367432" customHeight="1"/>
    <x:row r="70" ht="7.150000095367432" customHeight="1"/>
    <x:row r="71" ht="7.150000095367432" customHeight="1"/>
    <x:row r="72" ht="7.150000095367432" customHeight="1"/>
    <x:row r="73" ht="7.150000095367432" customHeight="1"/>
    <x:row r="74" ht="7.150000095367432" customHeight="1"/>
    <x:row r="75" ht="7.150000095367432" customHeight="1"/>
    <x:row r="76" ht="7.150000095367432" customHeight="1"/>
    <x:row r="77" ht="7.150000095367432" customHeight="1"/>
    <x:row r="78" ht="7.150000095367432" customHeight="1"/>
    <x:row r="79" ht="7.150000095367432" customHeight="1"/>
    <x:row r="80" ht="7.150000095367432" customHeight="1"/>
    <x:row r="81" ht="7.150000095367432" customHeight="1"/>
    <x:row r="82" ht="7.150000095367432" customHeight="1"/>
    <x:row r="83" ht="7.150000095367432" customHeight="1"/>
    <x:row r="84" ht="7.150000095367432" customHeight="1"/>
    <x:row r="85" ht="7.150000095367432" customHeight="1"/>
    <x:row r="86" ht="7.150000095367432" customHeight="1"/>
    <x:row r="87" ht="7.150000095367432" customHeight="1"/>
    <x:row r="88" ht="7.150000095367432" customHeight="1"/>
    <x:row r="89" ht="7.150000095367432" customHeight="1"/>
    <x:row r="90" ht="7.150000095367432" customHeight="1"/>
    <x:row r="91" ht="7.150000095367432" customHeight="1"/>
    <x:row r="92" ht="7.150000095367432" customHeight="1"/>
    <x:row r="93" ht="7.150000095367432" customHeight="1"/>
    <x:row r="94" ht="7.150000095367432" customHeight="1"/>
    <x:row r="95" ht="7.150000095367432" customHeight="1"/>
    <x:row r="96" ht="7.150000095367432" customHeight="1"/>
    <x:row r="97" ht="7.150000095367432" customHeight="1"/>
    <x:row r="98" ht="7.150000095367432" customHeight="1"/>
    <x:row r="99" ht="7.150000095367432" customHeight="1"/>
    <x:row r="100" ht="7.150000095367432" customHeight="1"/>
    <x:row r="101" ht="7.150000095367432" customHeight="1"/>
    <x:row r="102" ht="7.150000095367432" customHeight="1"/>
    <x:row r="103" ht="7.150000095367432" customHeight="1"/>
    <x:row r="104" ht="7.150000095367432" customHeight="1"/>
    <x:row r="105" ht="7.150000095367432" customHeight="1"/>
    <x:row r="106" ht="7.150000095367432" customHeight="1"/>
    <x:row r="107" ht="7.150000095367432" customHeight="1"/>
    <x:row r="108" ht="7.150000095367432" customHeight="1"/>
    <x:row r="109" ht="7.150000095367432" customHeight="1"/>
    <x:row r="110" ht="7.150000095367432" customHeight="1"/>
    <x:row r="111" ht="7.150000095367432" customHeight="1"/>
    <x:row r="112" ht="7.150000095367432" customHeight="1"/>
    <x:row r="113" ht="7.150000095367432" customHeight="1"/>
    <x:row r="114" ht="7.150000095367432" customHeight="1"/>
    <x:row r="115" ht="7.150000095367432" customHeight="1"/>
    <x:row r="116" ht="7.150000095367432" customHeight="1"/>
    <x:row r="117" ht="7.150000095367432" customHeight="1"/>
    <x:row r="118" ht="7.150000095367432" customHeight="1"/>
    <x:row r="119" ht="7.150000095367432" customHeight="1"/>
    <x:row r="120" ht="7.150000095367432" customHeight="1"/>
    <x:row r="121" ht="7.150000095367432" customHeight="1"/>
    <x:row r="122" ht="7.150000095367432" customHeight="1"/>
    <x:row r="123" ht="7.150000095367432" customHeight="1"/>
    <x:row r="124" ht="7.150000095367432" customHeight="1"/>
    <x:row r="125" ht="7.150000095367432" customHeight="1"/>
    <x:row r="126" ht="7.150000095367432" customHeight="1"/>
    <x:row r="127" ht="7.150000095367432" customHeight="1"/>
    <x:row r="128" ht="7.150000095367432" customHeight="1"/>
    <x:row r="129" ht="7.150000095367432" customHeight="1"/>
    <x:row r="130" ht="7.150000095367432" customHeight="1"/>
    <x:row r="131" ht="7.150000095367432" customHeight="1"/>
    <x:row r="132" ht="7.150000095367432" customHeight="1"/>
    <x:row r="133" ht="7.150000095367432" customHeight="1"/>
    <x:row r="134" ht="7.150000095367432" customHeight="1"/>
    <x:row r="135" ht="7.150000095367432" customHeight="1"/>
    <x:row r="136" ht="7.150000095367432" customHeight="1"/>
    <x:row r="137" ht="7.150000095367432" customHeight="1"/>
    <x:row r="138" ht="7.150000095367432" customHeight="1"/>
    <x:row r="139" ht="7.150000095367432" customHeight="1"/>
    <x:row r="140" ht="7.150000095367432" customHeight="1"/>
    <x:row r="141" ht="7.150000095367432" customHeight="1"/>
    <x:row r="142" ht="7.150000095367432" customHeight="1"/>
    <x:row r="143" ht="7.150000095367432" customHeight="1"/>
    <x:row r="144" ht="7.150000095367432" customHeight="1"/>
    <x:row r="145" ht="7.150000095367432" customHeight="1"/>
    <x:row r="146" ht="7.150000095367432" customHeight="1"/>
    <x:row r="147" ht="7.150000095367432" customHeight="1"/>
    <x:row r="148" ht="7.150000095367432" customHeight="1"/>
    <x:row r="149" ht="7.150000095367432" customHeight="1"/>
    <x:row r="150" ht="7.150000095367432" customHeight="1"/>
    <x:row r="151" ht="7.150000095367432" customHeight="1"/>
    <x:row r="152" ht="7.150000095367432" customHeight="1"/>
    <x:row r="153" ht="7.150000095367432" customHeight="1"/>
    <x:row r="154" ht="7.150000095367432" customHeight="1"/>
    <x:row r="155" ht="7.150000095367432" customHeight="1"/>
    <x:row r="156" ht="7.150000095367432" customHeight="1"/>
    <x:row r="157" ht="7.150000095367432" customHeight="1"/>
    <x:row r="158" ht="7.150000095367432" customHeight="1"/>
    <x:row r="159" ht="7.150000095367432" customHeight="1"/>
    <x:row r="160" ht="7.150000095367432" customHeight="1"/>
    <x:row r="161" ht="7.150000095367432" customHeight="1"/>
    <x:row r="162" ht="7.150000095367432" customHeight="1"/>
    <x:row r="163" ht="7.150000095367432" customHeight="1"/>
    <x:row r="164" ht="7.150000095367432" customHeight="1"/>
    <x:row r="165" ht="7.150000095367432" customHeight="1"/>
    <x:row r="166" ht="7.150000095367432" customHeight="1"/>
    <x:row r="167" ht="7.150000095367432" customHeight="1"/>
    <x:row r="168" ht="7.150000095367432" customHeight="1"/>
    <x:row r="169" ht="7.150000095367432" customHeight="1"/>
    <x:row r="170" ht="7.150000095367432" customHeight="1"/>
    <x:row r="171" ht="7.150000095367432" customHeight="1"/>
    <x:row r="172" ht="7.150000095367432" customHeight="1"/>
    <x:row r="173" ht="7.150000095367432" customHeight="1"/>
    <x:row r="174" ht="7.150000095367432" customHeight="1"/>
    <x:row r="175" ht="7.150000095367432" customHeight="1"/>
    <x:row r="176" ht="7.150000095367432" customHeight="1"/>
    <x:row r="177" ht="7.150000095367432" customHeight="1"/>
    <x:row r="178" ht="7.150000095367432" customHeight="1"/>
    <x:row r="179" ht="7.150000095367432" customHeight="1"/>
    <x:row r="180" ht="7.150000095367432" customHeight="1"/>
    <x:row r="181" ht="7.150000095367432" customHeight="1"/>
    <x:row r="182" ht="7.150000095367432" customHeight="1"/>
    <x:row r="183" ht="7.150000095367432" customHeight="1"/>
    <x:row r="184" ht="7.150000095367432" customHeight="1"/>
    <x:row r="185" ht="7.150000095367432" customHeight="1"/>
    <x:row r="186" ht="7.150000095367432" customHeight="1"/>
    <x:row r="187" ht="7.150000095367432" customHeight="1"/>
    <x:row r="188" ht="7.150000095367432" customHeight="1"/>
    <x:row r="189" ht="7.150000095367432" customHeight="1"/>
    <x:row r="190" ht="7.150000095367432" customHeight="1"/>
    <x:row r="191" ht="7.150000095367432" customHeight="1"/>
    <x:row r="192" ht="7.150000095367432" customHeight="1"/>
    <x:row r="193" ht="7.150000095367432" customHeight="1"/>
    <x:row r="194" ht="7.150000095367432" customHeight="1"/>
    <x:row r="195" ht="7.150000095367432" customHeight="1"/>
    <x:row r="196" ht="7.150000095367432" customHeight="1"/>
    <x:row r="197" ht="7.150000095367432" customHeight="1"/>
    <x:row r="198" ht="7.150000095367432" customHeight="1"/>
    <x:row r="199" ht="7.150000095367432" customHeight="1"/>
    <x:row r="200" ht="7.150000095367432" customHeight="1"/>
    <x:row r="201" ht="7.150000095367432" customHeight="1"/>
    <x:row r="202" ht="7.150000095367432" customHeight="1"/>
    <x:row r="203" ht="7.150000095367432" customHeight="1"/>
    <x:row r="204" ht="7.150000095367432" customHeight="1"/>
    <x:row r="205" ht="7.150000095367432" customHeight="1"/>
    <x:row r="206" ht="7.150000095367432" customHeight="1"/>
    <x:row r="207" ht="7.150000095367432" customHeight="1"/>
    <x:row r="208" ht="7.150000095367432" customHeight="1"/>
    <x:row r="209" ht="7.150000095367432" customHeight="1"/>
    <x:row r="210" ht="7.150000095367432" customHeight="1"/>
    <x:row r="211" ht="7.150000095367432" customHeight="1"/>
    <x:row r="212" ht="7.150000095367432" customHeight="1"/>
    <x:row r="213" ht="7.150000095367432" customHeight="1"/>
    <x:row r="214" ht="7.150000095367432" customHeight="1"/>
    <x:row r="215" ht="7.150000095367432" customHeight="1"/>
    <x:row r="216" ht="7.150000095367432" customHeight="1"/>
    <x:row r="217" ht="7.150000095367432" customHeight="1"/>
    <x:row r="218" ht="7.150000095367432" customHeight="1"/>
    <x:row r="219" ht="7.150000095367432" customHeight="1"/>
    <x:row r="220" ht="7.150000095367432" customHeight="1"/>
    <x:row r="221" ht="7.150000095367432" customHeight="1"/>
    <x:row r="222" ht="7.150000095367432" customHeight="1"/>
    <x:row r="223" ht="7.150000095367432" customHeight="1"/>
    <x:row r="224" ht="7.150000095367432" customHeight="1"/>
    <x:row r="225" ht="7.150000095367432" customHeight="1"/>
    <x:row r="226" ht="7.150000095367432" customHeight="1"/>
    <x:row r="227" ht="7.150000095367432" customHeight="1"/>
    <x:row r="228" ht="7.150000095367432" customHeight="1"/>
    <x:row r="229" ht="7.150000095367432" customHeight="1"/>
    <x:row r="230" ht="7.150000095367432" customHeight="1"/>
    <x:row r="231" ht="7.150000095367432" customHeight="1"/>
    <x:row r="232" ht="7.150000095367432" customHeight="1"/>
    <x:row r="233" ht="7.150000095367432" customHeight="1"/>
    <x:row r="234" ht="7.150000095367432" customHeight="1"/>
    <x:row r="235" ht="7.150000095367432" customHeight="1"/>
    <x:row r="236" ht="7.150000095367432" customHeight="1"/>
    <x:row r="237" ht="7.150000095367432" customHeight="1"/>
    <x:row r="238" ht="7.150000095367432" customHeight="1"/>
    <x:row r="239" ht="7.150000095367432" customHeight="1"/>
    <x:row r="240" ht="7.150000095367432" customHeight="1"/>
    <x:row r="241" ht="7.150000095367432" customHeight="1"/>
    <x:row r="242" ht="7.150000095367432" customHeight="1"/>
    <x:row r="243" ht="7.150000095367432" customHeight="1"/>
    <x:row r="244" ht="7.150000095367432" customHeight="1"/>
    <x:row r="245" ht="7.150000095367432" customHeight="1"/>
    <x:row r="246" ht="7.150000095367432" customHeight="1"/>
    <x:row r="247" ht="7.150000095367432" customHeight="1"/>
    <x:row r="248" ht="7.150000095367432" customHeight="1"/>
    <x:row r="249" ht="7.150000095367432" customHeight="1"/>
    <x:row r="250" ht="7.150000095367432" customHeight="1"/>
    <x:row r="251" ht="7.150000095367432" customHeight="1"/>
    <x:row r="252" ht="7.150000095367432" customHeight="1"/>
    <x:row r="253" ht="7.150000095367432" customHeight="1"/>
    <x:row r="254" ht="7.150000095367432" customHeight="1"/>
    <x:row r="255" ht="7.150000095367432" customHeight="1"/>
    <x:row r="256" ht="7.150000095367432" customHeight="1"/>
    <x:row r="257" ht="7.150000095367432" customHeight="1"/>
    <x:row r="258" ht="7.150000095367432" customHeight="1"/>
    <x:row r="259" ht="7.150000095367432" customHeight="1"/>
    <x:row r="260" ht="7.150000095367432" customHeight="1"/>
    <x:row r="261" ht="7.150000095367432" customHeight="1"/>
    <x:row r="262" ht="7.150000095367432" customHeight="1"/>
    <x:row r="263" ht="7.150000095367432" customHeight="1"/>
    <x:row r="264" ht="7.150000095367432" customHeight="1"/>
    <x:row r="265" ht="7.150000095367432" customHeight="1"/>
    <x:row r="266" ht="7.150000095367432" customHeight="1"/>
    <x:row r="267" ht="7.150000095367432" customHeight="1"/>
    <x:row r="268" ht="7.150000095367432" customHeight="1"/>
    <x:row r="269" ht="7.150000095367432" customHeight="1"/>
    <x:row r="270" ht="7.150000095367432" customHeight="1"/>
    <x:row r="271" ht="7.150000095367432" customHeight="1"/>
    <x:row r="272" ht="7.150000095367432" customHeight="1"/>
    <x:row r="273" ht="7.150000095367432" customHeight="1"/>
    <x:row r="274" ht="7.150000095367432" customHeight="1"/>
    <x:row r="275" ht="7.150000095367432" customHeight="1"/>
    <x:row r="276" ht="7.150000095367432" customHeight="1"/>
    <x:row r="277" ht="7.150000095367432" customHeight="1"/>
    <x:row r="278" ht="7.150000095367432" customHeight="1"/>
    <x:row r="279" ht="7.150000095367432" customHeight="1"/>
    <x:row r="280" ht="7.150000095367432" customHeight="1"/>
    <x:row r="281" ht="7.150000095367432" customHeight="1"/>
    <x:row r="282" ht="7.150000095367432" customHeight="1"/>
    <x:row r="283" ht="7.150000095367432" customHeight="1"/>
    <x:row r="284" ht="7.150000095367432" customHeight="1"/>
    <x:row r="285" ht="7.150000095367432" customHeight="1"/>
    <x:row r="286" ht="7.150000095367432" customHeight="1"/>
    <x:row r="287" ht="7.150000095367432" customHeight="1"/>
    <x:row r="288" ht="7.150000095367432" customHeight="1"/>
    <x:row r="289" ht="7.150000095367432" customHeight="1"/>
    <x:row r="290" ht="7.150000095367432" customHeight="1"/>
    <x:row r="291" ht="7.150000095367432" customHeight="1"/>
    <x:row r="292" ht="7.150000095367432" customHeight="1"/>
    <x:row r="293" ht="7.150000095367432" customHeight="1"/>
    <x:row r="294" ht="7.150000095367432" customHeight="1"/>
    <x:row r="295" ht="7.150000095367432" customHeight="1"/>
    <x:row r="296" ht="7.150000095367432" customHeight="1"/>
    <x:row r="297" ht="7.150000095367432" customHeight="1"/>
    <x:row r="298" ht="7.150000095367432" customHeight="1"/>
    <x:row r="299" ht="7.150000095367432" customHeight="1"/>
    <x:row r="300" ht="7.150000095367432" customHeight="1"/>
    <x:row r="301" ht="7.150000095367432" customHeight="1"/>
    <x:row r="302" ht="7.150000095367432" customHeight="1"/>
    <x:row r="303" ht="7.150000095367432" customHeight="1"/>
    <x:row r="304" ht="7.150000095367432" customHeight="1"/>
    <x:row r="305" ht="7.150000095367432" customHeight="1"/>
    <x:row r="306" ht="7.150000095367432" customHeight="1"/>
    <x:row r="307" ht="7.150000095367432" customHeight="1"/>
    <x:row r="308" ht="7.150000095367432" customHeight="1"/>
    <x:row r="309" ht="7.150000095367432" customHeight="1"/>
    <x:row r="310" ht="7.150000095367432" customHeight="1"/>
    <x:row r="311" ht="7.150000095367432" customHeight="1"/>
    <x:row r="312" ht="7.150000095367432" customHeight="1"/>
    <x:row r="313" ht="7.150000095367432" customHeight="1"/>
    <x:row r="314" ht="7.150000095367432" customHeight="1"/>
    <x:row r="315" ht="7.150000095367432" customHeight="1"/>
    <x:row r="316" ht="7.150000095367432" customHeight="1"/>
    <x:row r="317" ht="7.150000095367432" customHeight="1"/>
    <x:row r="318" ht="7.150000095367432" customHeight="1"/>
    <x:row r="319" ht="7.150000095367432" customHeight="1"/>
    <x:row r="320" ht="7.150000095367432" customHeight="1"/>
    <x:row r="321" ht="7.150000095367432" customHeight="1"/>
    <x:row r="322" ht="7.150000095367432" customHeight="1"/>
    <x:row r="323" ht="7.150000095367432" customHeight="1"/>
    <x:row r="324" ht="7.150000095367432" customHeight="1"/>
    <x:row r="325" ht="7.150000095367432" customHeight="1"/>
    <x:row r="326" ht="7.150000095367432" customHeight="1"/>
    <x:row r="327" ht="7.150000095367432" customHeight="1"/>
    <x:row r="328" ht="7.150000095367432" customHeight="1"/>
    <x:row r="329" ht="7.150000095367432" customHeight="1"/>
    <x:row r="330" ht="7.150000095367432" customHeight="1"/>
    <x:row r="331" ht="7.150000095367432" customHeight="1"/>
    <x:row r="332" ht="7.150000095367432" customHeight="1"/>
    <x:row r="333" ht="7.150000095367432" customHeight="1"/>
    <x:row r="334" ht="7.150000095367432" customHeight="1"/>
    <x:row r="335" ht="7.150000095367432" customHeight="1"/>
    <x:row r="336" ht="7.150000095367432" customHeight="1"/>
    <x:row r="337" ht="7.150000095367432" customHeight="1"/>
    <x:row r="338" ht="7.150000095367432" customHeight="1"/>
    <x:row r="339" ht="7.150000095367432" customHeight="1"/>
    <x:row r="340" ht="7.150000095367432" customHeight="1"/>
    <x:row r="341" ht="7.150000095367432" customHeight="1"/>
    <x:row r="342" ht="7.150000095367432" customHeight="1"/>
    <x:row r="343" ht="7.150000095367432" customHeight="1"/>
    <x:row r="344" ht="7.150000095367432" customHeight="1"/>
    <x:row r="345" ht="7.150000095367432" customHeight="1"/>
    <x:row r="346" ht="7.150000095367432" customHeight="1"/>
    <x:row r="347" ht="7.150000095367432" customHeight="1"/>
    <x:row r="348" ht="7.150000095367432" customHeight="1"/>
    <x:row r="349" ht="7.150000095367432" customHeight="1"/>
    <x:row r="350" ht="7.150000095367432" customHeight="1"/>
    <x:row r="351" ht="7.150000095367432" customHeight="1"/>
    <x:row r="352" ht="7.150000095367432" customHeight="1"/>
    <x:row r="353" ht="7.150000095367432" customHeight="1"/>
    <x:row r="354" ht="7.150000095367432" customHeight="1"/>
    <x:row r="355" ht="7.150000095367432" customHeight="1"/>
    <x:row r="356" ht="7.150000095367432" customHeight="1"/>
    <x:row r="357" ht="7.150000095367432" customHeight="1"/>
    <x:row r="358" ht="7.150000095367432" customHeight="1"/>
    <x:row r="359" ht="7.150000095367432" customHeight="1"/>
    <x:row r="360" ht="7.150000095367432" customHeight="1"/>
    <x:row r="361" ht="7.150000095367432" customHeight="1"/>
    <x:row r="362" ht="7.150000095367432" customHeight="1"/>
    <x:row r="363" ht="7.150000095367432" customHeight="1"/>
    <x:row r="364" ht="7.150000095367432" customHeight="1"/>
    <x:row r="365" ht="7.150000095367432" customHeight="1"/>
    <x:row r="366" ht="7.150000095367432" customHeight="1"/>
    <x:row r="367" ht="7.150000095367432" customHeight="1"/>
    <x:row r="368" ht="7.150000095367432" customHeight="1"/>
    <x:row r="369" ht="7.150000095367432" customHeight="1"/>
    <x:row r="370" ht="7.150000095367432" customHeight="1"/>
    <x:row r="371" ht="7.150000095367432" customHeight="1"/>
    <x:row r="372" ht="7.150000095367432" customHeight="1"/>
    <x:row r="373" ht="7.150000095367432" customHeight="1"/>
    <x:row r="374" ht="7.150000095367432" customHeight="1"/>
    <x:row r="375" ht="7.150000095367432" customHeight="1"/>
    <x:row r="376" ht="7.150000095367432" customHeight="1"/>
    <x:row r="377" ht="7.150000095367432" customHeight="1"/>
    <x:row r="378" ht="7.150000095367432" customHeight="1"/>
    <x:row r="379" ht="7.150000095367432" customHeight="1"/>
    <x:row r="380" ht="7.150000095367432" customHeight="1"/>
    <x:row r="381" ht="7.150000095367432" customHeight="1"/>
    <x:row r="382" ht="7.150000095367432" customHeight="1"/>
    <x:row r="383" ht="7.150000095367432" customHeight="1"/>
    <x:row r="384" ht="7.150000095367432" customHeight="1"/>
    <x:row r="385" ht="7.150000095367432" customHeight="1"/>
    <x:row r="386" ht="7.150000095367432" customHeight="1"/>
    <x:row r="387" ht="7.150000095367432" customHeight="1"/>
    <x:row r="388" ht="7.150000095367432" customHeight="1"/>
    <x:row r="389" ht="7.150000095367432" customHeight="1"/>
    <x:row r="390" ht="7.150000095367432" customHeight="1"/>
    <x:row r="391" ht="7.150000095367432" customHeight="1"/>
    <x:row r="392" ht="7.150000095367432" customHeight="1"/>
    <x:row r="393" ht="7.150000095367432" customHeight="1"/>
    <x:row r="394" ht="7.150000095367432" customHeight="1"/>
    <x:row r="395" ht="7.150000095367432" customHeight="1"/>
    <x:row r="396" ht="7.150000095367432" customHeight="1"/>
    <x:row r="397" ht="7.150000095367432" customHeight="1"/>
    <x:row r="398" ht="7.150000095367432" customHeight="1"/>
    <x:row r="399" ht="7.150000095367432" customHeight="1"/>
    <x:row r="400" ht="7.150000095367432" customHeight="1"/>
    <x:row r="401" ht="7.150000095367432" customHeight="1"/>
    <x:row r="402" ht="7.150000095367432" customHeight="1"/>
    <x:row r="403" ht="7.150000095367432" customHeight="1"/>
    <x:row r="404" ht="7.150000095367432" customHeight="1"/>
    <x:row r="405" ht="7.150000095367432" customHeight="1"/>
    <x:row r="406" ht="7.150000095367432" customHeight="1"/>
    <x:row r="407" ht="7.150000095367432" customHeight="1"/>
    <x:row r="408" ht="7.150000095367432" customHeight="1"/>
    <x:row r="409" ht="7.150000095367432" customHeight="1"/>
    <x:row r="410" ht="7.150000095367432" customHeight="1"/>
    <x:row r="411" ht="7.150000095367432" customHeight="1"/>
    <x:row r="412" ht="7.150000095367432" customHeight="1"/>
    <x:row r="413" ht="7.150000095367432" customHeight="1"/>
    <x:row r="414" ht="7.150000095367432" customHeight="1"/>
    <x:row r="415" ht="7.150000095367432" customHeight="1"/>
    <x:row r="416" ht="7.150000095367432" customHeight="1"/>
    <x:row r="417" ht="7.150000095367432" customHeight="1"/>
    <x:row r="418" ht="7.150000095367432" customHeight="1"/>
    <x:row r="419" ht="7.150000095367432" customHeight="1"/>
    <x:row r="420" ht="7.150000095367432" customHeight="1"/>
    <x:row r="421" ht="7.150000095367432" customHeight="1"/>
    <x:row r="422" ht="7.150000095367432" customHeight="1"/>
    <x:row r="423" ht="7.150000095367432" customHeight="1"/>
    <x:row r="424" ht="7.150000095367432" customHeight="1"/>
    <x:row r="425" ht="7.150000095367432" customHeight="1"/>
    <x:row r="426" ht="7.150000095367432" customHeight="1"/>
    <x:row r="427" ht="7.150000095367432" customHeight="1"/>
    <x:row r="428" ht="7.150000095367432" customHeight="1"/>
    <x:row r="429" ht="7.150000095367432" customHeight="1"/>
    <x:row r="430" ht="7.150000095367432" customHeight="1"/>
    <x:row r="431" ht="7.150000095367432" customHeight="1"/>
    <x:row r="432" ht="7.150000095367432" customHeight="1"/>
    <x:row r="433" ht="7.150000095367432" customHeight="1"/>
    <x:row r="434" ht="7.150000095367432" customHeight="1"/>
    <x:row r="435" ht="7.150000095367432" customHeight="1"/>
    <x:row r="436" ht="7.150000095367432" customHeight="1"/>
    <x:row r="437" ht="7.150000095367432" customHeight="1"/>
    <x:row r="438" ht="7.150000095367432" customHeight="1"/>
    <x:row r="439" ht="7.150000095367432" customHeight="1"/>
    <x:row r="440" ht="7.150000095367432" customHeight="1"/>
    <x:row r="441" ht="7.150000095367432" customHeight="1"/>
    <x:row r="442" ht="7.150000095367432" customHeight="1"/>
    <x:row r="443" ht="7.150000095367432" customHeight="1"/>
    <x:row r="444" ht="7.150000095367432" customHeight="1"/>
    <x:row r="445" ht="7.150000095367432" customHeight="1"/>
    <x:row r="446" ht="7.150000095367432" customHeight="1"/>
    <x:row r="447" ht="7.150000095367432" customHeight="1"/>
    <x:row r="448" ht="7.150000095367432" customHeight="1"/>
    <x:row r="449" ht="7.150000095367432" customHeight="1"/>
    <x:row r="450" ht="7.150000095367432" customHeight="1"/>
    <x:row r="451" ht="7.150000095367432" customHeight="1"/>
    <x:row r="452" ht="7.150000095367432" customHeight="1"/>
    <x:row r="453" ht="7.150000095367432" customHeight="1"/>
    <x:row r="454" ht="7.150000095367432" customHeight="1"/>
    <x:row r="455" ht="7.150000095367432" customHeight="1"/>
    <x:row r="456" ht="7.150000095367432" customHeight="1"/>
    <x:row r="457" ht="7.150000095367432" customHeight="1"/>
    <x:row r="458" ht="7.150000095367432" customHeight="1"/>
    <x:row r="459" ht="7.150000095367432" customHeight="1"/>
    <x:row r="460" ht="7.150000095367432" customHeight="1"/>
    <x:row r="461" ht="7.150000095367432" customHeight="1"/>
    <x:row r="462" ht="7.150000095367432" customHeight="1"/>
    <x:row r="463" ht="7.150000095367432" customHeight="1"/>
    <x:row r="464" ht="7.150000095367432" customHeight="1"/>
    <x:row r="465" ht="7.150000095367432" customHeight="1"/>
    <x:row r="466" ht="7.150000095367432" customHeight="1"/>
    <x:row r="467" ht="7.150000095367432" customHeight="1"/>
    <x:row r="468" ht="7.150000095367432" customHeight="1"/>
    <x:row r="469" ht="7.150000095367432" customHeight="1"/>
    <x:row r="470" ht="7.150000095367432" customHeight="1"/>
    <x:row r="471" ht="7.150000095367432" customHeight="1"/>
    <x:row r="472" ht="7.150000095367432" customHeight="1"/>
    <x:row r="473" ht="7.150000095367432" customHeight="1"/>
    <x:row r="474" ht="7.150000095367432" customHeight="1"/>
    <x:row r="475" ht="7.150000095367432" customHeight="1"/>
    <x:row r="476" ht="7.150000095367432" customHeight="1"/>
    <x:row r="477" ht="7.150000095367432" customHeight="1"/>
    <x:row r="478" ht="7.150000095367432" customHeight="1"/>
    <x:row r="479" ht="7.150000095367432" customHeight="1"/>
    <x:row r="480" ht="7.150000095367432" customHeight="1"/>
    <x:row r="481" ht="7.150000095367432" customHeight="1"/>
    <x:row r="482" ht="7.150000095367432" customHeight="1"/>
    <x:row r="483" ht="7.150000095367432" customHeight="1"/>
    <x:row r="484" ht="7.150000095367432" customHeight="1"/>
    <x:row r="485" ht="7.150000095367432" customHeight="1"/>
    <x:row r="486" ht="7.150000095367432" customHeight="1"/>
    <x:row r="487" ht="7.150000095367432" customHeight="1"/>
    <x:row r="488" ht="7.150000095367432" customHeight="1"/>
    <x:row r="489" ht="7.150000095367432" customHeight="1"/>
    <x:row r="490" ht="7.150000095367432" customHeight="1"/>
    <x:row r="491" ht="7.150000095367432" customHeight="1"/>
    <x:row r="492" ht="7.150000095367432" customHeight="1"/>
    <x:row r="493" ht="7.150000095367432" customHeight="1"/>
    <x:row r="494" ht="7.150000095367432" customHeight="1"/>
    <x:row r="495" ht="7.150000095367432" customHeight="1"/>
    <x:row r="496" ht="7.150000095367432" customHeight="1"/>
    <x:row r="497" ht="7.150000095367432" customHeight="1"/>
    <x:row r="498" ht="7.150000095367432" customHeight="1"/>
    <x:row r="499" ht="7.150000095367432" customHeight="1"/>
    <x:row r="500" ht="7.150000095367432" customHeight="1"/>
    <x:row r="501" ht="7.150000095367432" customHeight="1"/>
    <x:row r="502" ht="7.150000095367432" customHeight="1"/>
    <x:row r="503" ht="7.150000095367432" customHeight="1"/>
    <x:row r="504" ht="7.150000095367432" customHeight="1"/>
    <x:row r="505" ht="7.150000095367432" customHeight="1"/>
    <x:row r="506" ht="7.150000095367432" customHeight="1"/>
    <x:row r="507" ht="7.150000095367432" customHeight="1"/>
    <x:row r="508" ht="7.150000095367432" customHeight="1"/>
    <x:row r="509" ht="7.150000095367432" customHeight="1"/>
    <x:row r="510" ht="7.150000095367432" customHeight="1"/>
    <x:row r="511" ht="7.150000095367432" customHeight="1"/>
    <x:row r="512" ht="7.150000095367432" customHeight="1"/>
    <x:row r="513" ht="7.150000095367432" customHeight="1"/>
    <x:row r="514" ht="7.150000095367432" customHeight="1"/>
    <x:row r="515" ht="7.150000095367432" customHeight="1"/>
    <x:row r="516" ht="7.150000095367432" customHeight="1"/>
    <x:row r="517" ht="7.150000095367432" customHeight="1"/>
    <x:row r="518" ht="7.150000095367432" customHeight="1"/>
    <x:row r="519" ht="7.150000095367432" customHeight="1"/>
    <x:row r="520" ht="7.150000095367432" customHeight="1"/>
    <x:row r="521" ht="7.150000095367432" customHeight="1"/>
    <x:row r="522" ht="7.150000095367432" customHeight="1"/>
    <x:row r="523" ht="7.150000095367432" customHeight="1"/>
    <x:row r="524" ht="7.150000095367432" customHeight="1"/>
    <x:row r="525" ht="7.150000095367432" customHeight="1"/>
    <x:row r="526" ht="7.150000095367432" customHeight="1"/>
    <x:row r="527" ht="7.150000095367432" customHeight="1"/>
    <x:row r="528" ht="7.150000095367432" customHeight="1"/>
    <x:row r="529" ht="7.150000095367432" customHeight="1"/>
    <x:row r="530" ht="7.150000095367432" customHeight="1"/>
    <x:row r="531" ht="7.150000095367432" customHeight="1"/>
    <x:row r="532" ht="7.150000095367432" customHeight="1"/>
    <x:row r="533" ht="7.150000095367432" customHeight="1"/>
    <x:row r="534" ht="7.150000095367432" customHeight="1"/>
    <x:row r="535" ht="7.150000095367432" customHeight="1"/>
    <x:row r="536" ht="7.150000095367432" customHeight="1"/>
    <x:row r="537" ht="7.150000095367432" customHeight="1"/>
    <x:row r="538" ht="7.150000095367432" customHeight="1"/>
    <x:row r="539" ht="7.150000095367432" customHeight="1"/>
    <x:row r="540" ht="7.150000095367432" customHeight="1"/>
    <x:row r="541" ht="7.150000095367432" customHeight="1"/>
    <x:row r="542" ht="7.150000095367432" customHeight="1"/>
    <x:row r="543" ht="7.150000095367432" customHeight="1"/>
    <x:row r="544" ht="7.150000095367432" customHeight="1"/>
    <x:row r="545" ht="7.150000095367432" customHeight="1"/>
    <x:row r="546" ht="7.150000095367432" customHeight="1"/>
    <x:row r="547" ht="7.150000095367432" customHeight="1"/>
    <x:row r="548" ht="7.150000095367432" customHeight="1"/>
    <x:row r="549" ht="7.150000095367432" customHeight="1"/>
    <x:row r="550" ht="7.150000095367432" customHeight="1"/>
    <x:row r="551" ht="7.150000095367432" customHeight="1"/>
    <x:row r="552" ht="7.150000095367432" customHeight="1"/>
    <x:row r="553" ht="7.150000095367432" customHeight="1"/>
    <x:row r="554" ht="7.150000095367432" customHeight="1"/>
    <x:row r="555" ht="7.150000095367432" customHeight="1"/>
    <x:row r="556" ht="7.150000095367432" customHeight="1"/>
    <x:row r="557" ht="7.150000095367432" customHeight="1"/>
    <x:row r="558" ht="7.150000095367432" customHeight="1"/>
    <x:row r="559" ht="7.150000095367432" customHeight="1"/>
    <x:row r="560" ht="7.150000095367432" customHeight="1"/>
    <x:row r="561" ht="7.150000095367432" customHeight="1"/>
    <x:row r="562" ht="7.150000095367432" customHeight="1"/>
    <x:row r="563" ht="7.150000095367432" customHeight="1"/>
    <x:row r="564" ht="7.150000095367432" customHeight="1"/>
    <x:row r="565" ht="7.150000095367432" customHeight="1"/>
    <x:row r="566" ht="7.150000095367432" customHeight="1"/>
    <x:row r="567" ht="7.150000095367432" customHeight="1"/>
    <x:row r="568" ht="7.150000095367432" customHeight="1"/>
    <x:row r="569" ht="7.150000095367432" customHeight="1"/>
    <x:row r="570" ht="7.150000095367432" customHeight="1"/>
    <x:row r="571" ht="7.150000095367432" customHeight="1"/>
    <x:row r="572" ht="7.150000095367432" customHeight="1"/>
    <x:row r="573" ht="7.150000095367432" customHeight="1"/>
    <x:row r="574" ht="7.150000095367432" customHeight="1"/>
    <x:row r="575" ht="7.150000095367432" customHeight="1"/>
    <x:row r="576" ht="7.150000095367432" customHeight="1"/>
    <x:row r="577" ht="7.150000095367432" customHeight="1"/>
    <x:row r="578" ht="7.150000095367432" customHeight="1"/>
    <x:row r="579" ht="7.150000095367432" customHeight="1"/>
    <x:row r="580" ht="7.150000095367432" customHeight="1"/>
    <x:row r="581" ht="7.150000095367432" customHeight="1"/>
    <x:row r="582" ht="7.150000095367432" customHeight="1"/>
    <x:row r="583" ht="7.150000095367432" customHeight="1"/>
    <x:row r="584" ht="7.150000095367432" customHeight="1"/>
    <x:row r="585" ht="7.150000095367432" customHeight="1"/>
    <x:row r="586" ht="7.150000095367432" customHeight="1"/>
    <x:row r="587" ht="7.150000095367432" customHeight="1"/>
    <x:row r="588" ht="7.150000095367432" customHeight="1"/>
    <x:row r="589" ht="7.150000095367432" customHeight="1"/>
    <x:row r="590" ht="7.150000095367432" customHeight="1"/>
    <x:row r="591" ht="7.150000095367432" customHeight="1"/>
    <x:row r="592" ht="7.150000095367432" customHeight="1"/>
    <x:row r="593" ht="7.150000095367432" customHeight="1"/>
    <x:row r="594" ht="7.150000095367432" customHeight="1"/>
    <x:row r="595" ht="7.150000095367432" customHeight="1"/>
    <x:row r="596" ht="7.150000095367432" customHeight="1"/>
    <x:row r="597" ht="7.150000095367432" customHeight="1"/>
    <x:row r="598" ht="7.150000095367432" customHeight="1"/>
    <x:row r="599" ht="7.150000095367432" customHeight="1"/>
    <x:row r="600" ht="7.150000095367432" customHeight="1"/>
    <x:row r="601" ht="7.150000095367432" customHeight="1"/>
    <x:row r="602" ht="7.150000095367432" customHeight="1"/>
    <x:row r="603" ht="7.150000095367432" customHeight="1"/>
    <x:row r="604" ht="7.150000095367432" customHeight="1"/>
    <x:row r="605" ht="7.150000095367432" customHeight="1"/>
    <x:row r="606" ht="7.150000095367432" customHeight="1"/>
    <x:row r="607" ht="7.150000095367432" customHeight="1"/>
    <x:row r="608" ht="7.150000095367432" customHeight="1"/>
    <x:row r="609" ht="7.150000095367432" customHeight="1"/>
    <x:row r="610" ht="7.150000095367432" customHeight="1"/>
    <x:row r="611" ht="7.150000095367432" customHeight="1"/>
    <x:row r="612" ht="7.150000095367432" customHeight="1"/>
    <x:row r="613" ht="7.150000095367432" customHeight="1"/>
    <x:row r="614" ht="7.150000095367432" customHeight="1"/>
    <x:row r="615" ht="7.150000095367432" customHeight="1"/>
    <x:row r="616" ht="7.150000095367432" customHeight="1"/>
    <x:row r="617" ht="7.150000095367432" customHeight="1"/>
    <x:row r="618" ht="7.150000095367432" customHeight="1"/>
    <x:row r="619" ht="7.150000095367432" customHeight="1"/>
    <x:row r="620" ht="7.150000095367432" customHeight="1"/>
    <x:row r="621" ht="7.150000095367432" customHeight="1"/>
    <x:row r="622" ht="7.150000095367432" customHeight="1"/>
    <x:row r="623" ht="7.150000095367432" customHeight="1"/>
    <x:row r="624" ht="7.150000095367432" customHeight="1"/>
    <x:row r="625" ht="7.150000095367432" customHeight="1"/>
    <x:row r="626" ht="7.150000095367432" customHeight="1"/>
    <x:row r="627" ht="7.150000095367432" customHeight="1"/>
    <x:row r="628" ht="7.150000095367432" customHeight="1"/>
    <x:row r="629" ht="7.150000095367432" customHeight="1"/>
    <x:row r="630" ht="7.150000095367432" customHeight="1"/>
    <x:row r="631" ht="7.150000095367432" customHeight="1"/>
    <x:row r="632" ht="7.150000095367432" customHeight="1"/>
    <x:row r="633" ht="7.150000095367432" customHeight="1"/>
    <x:row r="634" ht="7.150000095367432" customHeight="1"/>
    <x:row r="635" ht="7.150000095367432" customHeight="1"/>
    <x:row r="636" ht="7.150000095367432" customHeight="1"/>
    <x:row r="637" ht="7.150000095367432" customHeight="1"/>
    <x:row r="638" ht="7.150000095367432" customHeight="1"/>
    <x:row r="639" ht="7.150000095367432" customHeight="1"/>
    <x:row r="640" ht="7.150000095367432" customHeight="1"/>
    <x:row r="641" ht="7.150000095367432" customHeight="1"/>
    <x:row r="642" ht="7.150000095367432" customHeight="1"/>
    <x:row r="643" ht="7.150000095367432" customHeight="1"/>
    <x:row r="644" ht="7.150000095367432" customHeight="1"/>
    <x:row r="645" ht="7.150000095367432" customHeight="1"/>
    <x:row r="646" ht="7.150000095367432" customHeight="1"/>
    <x:row r="647" ht="7.150000095367432" customHeight="1"/>
    <x:row r="648" ht="7.150000095367432" customHeight="1"/>
    <x:row r="649" ht="7.150000095367432" customHeight="1"/>
    <x:row r="650" ht="7.150000095367432" customHeight="1"/>
    <x:row r="651" ht="7.150000095367432" customHeight="1"/>
    <x:row r="652" ht="7.150000095367432" customHeight="1"/>
    <x:row r="653" ht="7.150000095367432" customHeight="1"/>
    <x:row r="654" ht="7.150000095367432" customHeight="1"/>
    <x:row r="655" ht="7.150000095367432" customHeight="1"/>
    <x:row r="656" ht="7.150000095367432" customHeight="1"/>
    <x:row r="657" ht="7.150000095367432" customHeight="1"/>
    <x:row r="658" ht="7.150000095367432" customHeight="1"/>
    <x:row r="659" ht="7.150000095367432" customHeight="1"/>
    <x:row r="660" ht="7.150000095367432" customHeight="1"/>
    <x:row r="661" ht="7.150000095367432" customHeight="1"/>
    <x:row r="662" ht="7.150000095367432" customHeight="1"/>
    <x:row r="663" ht="7.150000095367432" customHeight="1"/>
    <x:row r="664" ht="7.150000095367432" customHeight="1"/>
    <x:row r="665" ht="7.150000095367432" customHeight="1"/>
    <x:row r="666" ht="7.150000095367432" customHeight="1"/>
    <x:row r="667" ht="7.150000095367432" customHeight="1"/>
    <x:row r="668" ht="7.150000095367432" customHeight="1"/>
    <x:row r="669" ht="7.150000095367432" customHeight="1"/>
    <x:row r="670" ht="7.150000095367432" customHeight="1"/>
    <x:row r="671" ht="7.150000095367432" customHeight="1"/>
    <x:row r="672" ht="7.150000095367432" customHeight="1"/>
    <x:row r="673" ht="7.150000095367432" customHeight="1"/>
    <x:row r="674" ht="7.150000095367432" customHeight="1"/>
    <x:row r="675" ht="7.150000095367432" customHeight="1"/>
    <x:row r="676" ht="7.150000095367432" customHeight="1"/>
    <x:row r="677" ht="7.150000095367432" customHeight="1"/>
    <x:row r="678" ht="7.150000095367432" customHeight="1"/>
    <x:row r="679" ht="7.150000095367432" customHeight="1"/>
    <x:row r="680" ht="7.150000095367432" customHeight="1"/>
    <x:row r="681" ht="7.150000095367432" customHeight="1"/>
    <x:row r="682" ht="7.150000095367432" customHeight="1"/>
    <x:row r="683" ht="7.150000095367432" customHeight="1"/>
    <x:row r="684" ht="7.150000095367432" customHeight="1"/>
    <x:row r="685" ht="7.150000095367432" customHeight="1"/>
    <x:row r="686" ht="7.150000095367432" customHeight="1"/>
    <x:row r="687" ht="7.150000095367432" customHeight="1"/>
    <x:row r="688" ht="7.150000095367432" customHeight="1"/>
    <x:row r="689" ht="7.150000095367432" customHeight="1"/>
    <x:row r="690" ht="7.150000095367432" customHeight="1"/>
    <x:row r="691" ht="7.150000095367432" customHeight="1"/>
    <x:row r="692" ht="7.150000095367432" customHeight="1"/>
    <x:row r="693" ht="7.150000095367432" customHeight="1"/>
    <x:row r="694" ht="7.150000095367432" customHeight="1"/>
    <x:row r="695" ht="7.150000095367432" customHeight="1"/>
    <x:row r="696" ht="7.150000095367432" customHeight="1"/>
    <x:row r="697" ht="7.150000095367432" customHeight="1"/>
    <x:row r="698" ht="7.150000095367432" customHeight="1"/>
    <x:row r="699" ht="7.150000095367432" customHeight="1"/>
    <x:row r="700" ht="7.150000095367432" customHeight="1"/>
    <x:row r="701" ht="7.150000095367432" customHeight="1"/>
    <x:row r="702" ht="7.150000095367432" customHeight="1"/>
    <x:row r="703" ht="7.150000095367432" customHeight="1"/>
    <x:row r="704" ht="7.150000095367432" customHeight="1"/>
    <x:row r="705" ht="7.150000095367432" customHeight="1"/>
    <x:row r="706" ht="7.150000095367432" customHeight="1"/>
    <x:row r="707" ht="7.150000095367432" customHeight="1"/>
    <x:row r="708" ht="7.150000095367432" customHeight="1"/>
    <x:row r="709" ht="7.150000095367432" customHeight="1"/>
    <x:row r="710" ht="7.150000095367432" customHeight="1"/>
    <x:row r="711" ht="7.150000095367432" customHeight="1"/>
    <x:row r="712" ht="7.150000095367432" customHeight="1"/>
    <x:row r="713" ht="7.150000095367432" customHeight="1"/>
    <x:row r="714" ht="7.150000095367432" customHeight="1"/>
    <x:row r="715" ht="7.150000095367432" customHeight="1"/>
    <x:row r="716" ht="7.150000095367432" customHeight="1"/>
    <x:row r="717" ht="7.150000095367432" customHeight="1"/>
    <x:row r="718" ht="7.150000095367432" customHeight="1"/>
    <x:row r="719" ht="7.150000095367432" customHeight="1"/>
    <x:row r="720" ht="7.150000095367432" customHeight="1"/>
    <x:row r="721" ht="7.150000095367432" customHeight="1"/>
    <x:row r="722" ht="7.150000095367432" customHeight="1"/>
    <x:row r="723" ht="7.150000095367432" customHeight="1"/>
    <x:row r="724" ht="7.150000095367432" customHeight="1"/>
    <x:row r="725" ht="7.150000095367432" customHeight="1"/>
    <x:row r="726" ht="7.150000095367432" customHeight="1"/>
    <x:row r="727" ht="7.150000095367432" customHeight="1"/>
    <x:row r="728" ht="7.150000095367432" customHeight="1"/>
    <x:row r="729" ht="7.150000095367432" customHeight="1"/>
    <x:row r="730" ht="7.150000095367432" customHeight="1"/>
    <x:row r="731" ht="7.150000095367432" customHeight="1"/>
    <x:row r="732" ht="7.150000095367432" customHeight="1"/>
    <x:row r="733" ht="7.150000095367432" customHeight="1"/>
    <x:row r="734" ht="7.150000095367432" customHeight="1"/>
    <x:row r="735" ht="7.150000095367432" customHeight="1"/>
    <x:row r="736" ht="7.150000095367432" customHeight="1"/>
    <x:row r="737" ht="7.150000095367432" customHeight="1"/>
    <x:row r="738" ht="7.150000095367432" customHeight="1"/>
    <x:row r="739" ht="7.150000095367432" customHeight="1"/>
    <x:row r="740" ht="7.150000095367432" customHeight="1"/>
    <x:row r="741" ht="7.150000095367432" customHeight="1"/>
    <x:row r="742" ht="7.150000095367432" customHeight="1"/>
    <x:row r="743" ht="7.150000095367432" customHeight="1"/>
    <x:row r="744" ht="7.150000095367432" customHeight="1"/>
    <x:row r="745" ht="7.150000095367432" customHeight="1"/>
    <x:row r="746" ht="7.150000095367432" customHeight="1"/>
    <x:row r="747" ht="7.150000095367432" customHeight="1"/>
    <x:row r="748" ht="7.150000095367432" customHeight="1"/>
    <x:row r="749" ht="7.150000095367432" customHeight="1"/>
    <x:row r="750" ht="7.150000095367432" customHeight="1"/>
    <x:row r="751" ht="7.150000095367432" customHeight="1"/>
    <x:row r="752" ht="7.150000095367432" customHeight="1"/>
    <x:row r="753" ht="7.150000095367432" customHeight="1"/>
    <x:row r="754" ht="7.150000095367432" customHeight="1"/>
    <x:row r="755" ht="7.150000095367432" customHeight="1"/>
    <x:row r="756" ht="7.150000095367432" customHeight="1"/>
    <x:row r="757" ht="7.150000095367432" customHeight="1"/>
    <x:row r="758" ht="7.150000095367432" customHeight="1"/>
    <x:row r="759" ht="7.150000095367432" customHeight="1"/>
    <x:row r="760" ht="7.150000095367432" customHeight="1"/>
    <x:row r="761" ht="7.150000095367432" customHeight="1"/>
    <x:row r="762" ht="7.150000095367432" customHeight="1"/>
    <x:row r="763" ht="7.150000095367432" customHeight="1"/>
    <x:row r="764" ht="7.150000095367432" customHeight="1"/>
    <x:row r="765" ht="7.150000095367432" customHeight="1"/>
    <x:row r="766" ht="7.150000095367432" customHeight="1"/>
    <x:row r="767" ht="7.150000095367432" customHeight="1"/>
    <x:row r="768" ht="7.150000095367432" customHeight="1"/>
    <x:row r="769" ht="7.150000095367432" customHeight="1"/>
    <x:row r="770" ht="7.150000095367432" customHeight="1"/>
    <x:row r="771" ht="7.150000095367432" customHeight="1"/>
    <x:row r="772" ht="7.150000095367432" customHeight="1"/>
    <x:row r="773" ht="7.150000095367432" customHeight="1"/>
    <x:row r="774" ht="7.150000095367432" customHeight="1"/>
    <x:row r="775" ht="7.150000095367432" customHeight="1"/>
    <x:row r="776" ht="7.150000095367432" customHeight="1"/>
    <x:row r="777" ht="7.150000095367432" customHeight="1"/>
    <x:row r="778" ht="7.150000095367432" customHeight="1"/>
    <x:row r="779" ht="7.150000095367432" customHeight="1"/>
    <x:row r="780" ht="7.150000095367432" customHeight="1"/>
    <x:row r="781" ht="7.150000095367432" customHeight="1"/>
    <x:row r="782" ht="7.150000095367432" customHeight="1"/>
    <x:row r="783" ht="7.150000095367432" customHeight="1"/>
    <x:row r="784" ht="7.150000095367432" customHeight="1"/>
    <x:row r="785" ht="7.150000095367432" customHeight="1"/>
    <x:row r="786" ht="7.150000095367432" customHeight="1"/>
    <x:row r="787" ht="7.150000095367432" customHeight="1"/>
    <x:row r="788" ht="7.150000095367432" customHeight="1"/>
    <x:row r="789" ht="7.150000095367432" customHeight="1"/>
    <x:row r="790" ht="7.150000095367432" customHeight="1"/>
    <x:row r="791" ht="7.150000095367432" customHeight="1"/>
    <x:row r="792" ht="7.150000095367432" customHeight="1"/>
    <x:row r="793" ht="7.150000095367432" customHeight="1"/>
    <x:row r="794" ht="7.150000095367432" customHeight="1"/>
    <x:row r="795" ht="7.150000095367432" customHeight="1"/>
    <x:row r="796" ht="7.150000095367432" customHeight="1"/>
    <x:row r="797" ht="7.150000095367432" customHeight="1"/>
    <x:row r="798" ht="7.150000095367432" customHeight="1"/>
    <x:row r="799" ht="7.150000095367432" customHeight="1"/>
    <x:row r="800" ht="7.150000095367432" customHeight="1"/>
    <x:row r="801" ht="7.150000095367432" customHeight="1"/>
    <x:row r="802" ht="7.150000095367432" customHeight="1"/>
    <x:row r="803" ht="7.150000095367432" customHeight="1"/>
    <x:row r="804" ht="7.150000095367432" customHeight="1"/>
    <x:row r="805" ht="7.150000095367432" customHeight="1"/>
    <x:row r="806" ht="7.150000095367432" customHeight="1"/>
    <x:row r="807" ht="7.150000095367432" customHeight="1"/>
    <x:row r="808" ht="7.150000095367432" customHeight="1"/>
    <x:row r="809" ht="7.150000095367432" customHeight="1"/>
    <x:row r="810" ht="7.150000095367432" customHeight="1"/>
    <x:row r="811" ht="7.150000095367432" customHeight="1"/>
    <x:row r="812" ht="7.150000095367432" customHeight="1"/>
    <x:row r="813" ht="7.150000095367432" customHeight="1"/>
    <x:row r="814" ht="7.150000095367432" customHeight="1"/>
    <x:row r="815" ht="7.150000095367432" customHeight="1"/>
    <x:row r="816" ht="7.150000095367432" customHeight="1"/>
    <x:row r="817" ht="7.150000095367432" customHeight="1"/>
    <x:row r="818" ht="7.150000095367432" customHeight="1"/>
    <x:row r="819" ht="7.150000095367432" customHeight="1"/>
    <x:row r="820" ht="7.150000095367432" customHeight="1"/>
    <x:row r="821" ht="7.150000095367432" customHeight="1"/>
    <x:row r="822" ht="7.150000095367432" customHeight="1"/>
    <x:row r="823" ht="7.150000095367432" customHeight="1"/>
    <x:row r="824" ht="7.150000095367432" customHeight="1"/>
    <x:row r="825" ht="7.150000095367432" customHeight="1"/>
    <x:row r="826" ht="7.150000095367432" customHeight="1"/>
    <x:row r="827" ht="7.150000095367432" customHeight="1"/>
    <x:row r="828" ht="7.150000095367432" customHeight="1"/>
    <x:row r="829" ht="7.150000095367432" customHeight="1"/>
    <x:row r="830" ht="7.150000095367432" customHeight="1"/>
    <x:row r="831" ht="7.150000095367432" customHeight="1"/>
    <x:row r="832" ht="7.150000095367432" customHeight="1"/>
    <x:row r="833" ht="7.150000095367432" customHeight="1"/>
    <x:row r="834" ht="7.150000095367432" customHeight="1"/>
    <x:row r="835" ht="7.150000095367432" customHeight="1"/>
    <x:row r="836" ht="7.150000095367432" customHeight="1"/>
    <x:row r="837" ht="7.150000095367432" customHeight="1"/>
    <x:row r="838" ht="7.150000095367432" customHeight="1"/>
    <x:row r="839" ht="7.150000095367432" customHeight="1"/>
    <x:row r="840" ht="7.150000095367432" customHeight="1"/>
    <x:row r="841" ht="7.150000095367432" customHeight="1"/>
    <x:row r="842" ht="7.150000095367432" customHeight="1"/>
    <x:row r="843" ht="7.150000095367432" customHeight="1"/>
    <x:row r="844" ht="7.150000095367432" customHeight="1"/>
    <x:row r="845" ht="7.150000095367432" customHeight="1"/>
    <x:row r="846" ht="7.150000095367432" customHeight="1"/>
    <x:row r="847" ht="7.150000095367432" customHeight="1"/>
    <x:row r="848" ht="7.150000095367432" customHeight="1"/>
    <x:row r="849" ht="7.150000095367432" customHeight="1"/>
    <x:row r="850" ht="7.150000095367432" customHeight="1"/>
    <x:row r="851" ht="7.150000095367432" customHeight="1"/>
    <x:row r="852" ht="7.150000095367432" customHeight="1"/>
    <x:row r="853" ht="7.150000095367432" customHeight="1"/>
    <x:row r="854" ht="7.150000095367432" customHeight="1"/>
    <x:row r="855" ht="7.150000095367432" customHeight="1"/>
    <x:row r="856" ht="7.150000095367432" customHeight="1"/>
    <x:row r="857" ht="7.150000095367432" customHeight="1"/>
    <x:row r="858" ht="7.150000095367432" customHeight="1"/>
    <x:row r="859" ht="7.150000095367432" customHeight="1"/>
    <x:row r="860" ht="7.150000095367432" customHeight="1"/>
    <x:row r="861" ht="7.150000095367432" customHeight="1"/>
    <x:row r="862" ht="7.150000095367432" customHeight="1"/>
    <x:row r="863" ht="7.150000095367432" customHeight="1"/>
    <x:row r="864" ht="7.150000095367432" customHeight="1"/>
    <x:row r="865" ht="7.150000095367432" customHeight="1"/>
    <x:row r="866" ht="7.150000095367432" customHeight="1"/>
    <x:row r="867" ht="7.150000095367432" customHeight="1"/>
    <x:row r="868" ht="7.150000095367432" customHeight="1"/>
    <x:row r="869" ht="7.150000095367432" customHeight="1"/>
    <x:row r="870" ht="7.150000095367432" customHeight="1"/>
    <x:row r="871" ht="7.150000095367432" customHeight="1"/>
    <x:row r="872" ht="7.150000095367432" customHeight="1"/>
    <x:row r="873" ht="7.150000095367432" customHeight="1"/>
    <x:row r="874" ht="7.150000095367432" customHeight="1"/>
    <x:row r="875" ht="7.150000095367432" customHeight="1"/>
    <x:row r="876" ht="7.150000095367432" customHeight="1"/>
    <x:row r="877" ht="7.150000095367432" customHeight="1"/>
    <x:row r="878" ht="7.150000095367432" customHeight="1"/>
    <x:row r="879" ht="7.150000095367432" customHeight="1"/>
    <x:row r="880" ht="7.150000095367432" customHeight="1"/>
    <x:row r="881" ht="7.150000095367432" customHeight="1"/>
    <x:row r="882" ht="7.150000095367432" customHeight="1"/>
    <x:row r="883" ht="7.150000095367432" customHeight="1"/>
    <x:row r="884" ht="7.150000095367432" customHeight="1"/>
    <x:row r="885" ht="7.150000095367432" customHeight="1"/>
    <x:row r="886" ht="7.150000095367432" customHeight="1"/>
    <x:row r="887" ht="7.150000095367432" customHeight="1"/>
    <x:row r="888" ht="7.150000095367432" customHeight="1"/>
    <x:row r="889" ht="7.150000095367432" customHeight="1"/>
    <x:row r="890" ht="7.150000095367432" customHeight="1"/>
    <x:row r="891" ht="7.150000095367432" customHeight="1"/>
    <x:row r="892" ht="7.150000095367432" customHeight="1"/>
    <x:row r="893" ht="7.150000095367432" customHeight="1"/>
    <x:row r="894" ht="7.150000095367432" customHeight="1"/>
    <x:row r="895" ht="7.150000095367432" customHeight="1"/>
    <x:row r="896" ht="7.150000095367432" customHeight="1"/>
    <x:row r="897" ht="7.150000095367432" customHeight="1"/>
    <x:row r="898" ht="7.150000095367432" customHeight="1"/>
    <x:row r="899" ht="7.150000095367432" customHeight="1"/>
    <x:row r="900" ht="7.150000095367432" customHeight="1"/>
    <x:row r="901" ht="7.150000095367432" customHeight="1"/>
    <x:row r="902" ht="7.150000095367432" customHeight="1"/>
    <x:row r="903" ht="7.150000095367432" customHeight="1"/>
    <x:row r="904" ht="7.150000095367432" customHeight="1"/>
    <x:row r="905" ht="7.150000095367432" customHeight="1"/>
    <x:row r="906" ht="7.150000095367432" customHeight="1"/>
    <x:row r="907" ht="7.150000095367432" customHeight="1"/>
    <x:row r="908" ht="7.150000095367432" customHeight="1"/>
    <x:row r="909" ht="7.150000095367432" customHeight="1"/>
    <x:row r="910" ht="7.150000095367432" customHeight="1"/>
    <x:row r="911" ht="7.150000095367432" customHeight="1"/>
    <x:row r="912" ht="7.150000095367432" customHeight="1"/>
    <x:row r="913" ht="7.150000095367432" customHeight="1"/>
    <x:row r="914" ht="7.150000095367432" customHeight="1"/>
    <x:row r="915" ht="7.150000095367432" customHeight="1"/>
    <x:row r="916" ht="7.150000095367432" customHeight="1"/>
    <x:row r="917" ht="7.150000095367432" customHeight="1"/>
    <x:row r="918" ht="7.150000095367432" customHeight="1"/>
    <x:row r="919" ht="7.150000095367432" customHeight="1"/>
    <x:row r="920" ht="7.150000095367432" customHeight="1"/>
    <x:row r="921" ht="7.150000095367432" customHeight="1"/>
    <x:row r="922" ht="7.150000095367432" customHeight="1"/>
    <x:row r="923" ht="7.150000095367432" customHeight="1"/>
    <x:row r="924" ht="7.150000095367432" customHeight="1"/>
    <x:row r="925" ht="7.150000095367432" customHeight="1"/>
    <x:row r="926" ht="7.150000095367432" customHeight="1"/>
    <x:row r="927" ht="7.150000095367432" customHeight="1"/>
    <x:row r="928" ht="7.150000095367432" customHeight="1"/>
    <x:row r="929" ht="7.150000095367432" customHeight="1"/>
    <x:row r="930" ht="7.150000095367432" customHeight="1"/>
    <x:row r="931" ht="7.150000095367432" customHeight="1"/>
    <x:row r="932" ht="7.150000095367432" customHeight="1"/>
    <x:row r="933" ht="7.150000095367432" customHeight="1"/>
    <x:row r="934" ht="7.150000095367432" customHeight="1"/>
    <x:row r="935" ht="7.150000095367432" customHeight="1"/>
    <x:row r="936" ht="7.150000095367432" customHeight="1"/>
    <x:row r="937" ht="7.150000095367432" customHeight="1"/>
    <x:row r="938" ht="7.150000095367432" customHeight="1"/>
    <x:row r="939" ht="7.150000095367432" customHeight="1"/>
    <x:row r="940" ht="7.150000095367432" customHeight="1"/>
    <x:row r="941" ht="7.150000095367432" customHeight="1"/>
    <x:row r="942" ht="7.150000095367432" customHeight="1"/>
    <x:row r="943" ht="7.150000095367432" customHeight="1"/>
    <x:row r="944" ht="7.150000095367432" customHeight="1"/>
    <x:row r="945" ht="7.150000095367432" customHeight="1"/>
    <x:row r="946" ht="7.150000095367432" customHeight="1"/>
    <x:row r="947" ht="7.150000095367432" customHeight="1"/>
    <x:row r="948" ht="7.150000095367432" customHeight="1"/>
    <x:row r="949" ht="7.150000095367432" customHeight="1"/>
    <x:row r="950" ht="7.150000095367432" customHeight="1"/>
    <x:row r="951" ht="7.150000095367432" customHeight="1"/>
    <x:row r="952" ht="7.150000095367432" customHeight="1"/>
    <x:row r="953" ht="7.150000095367432" customHeight="1"/>
    <x:row r="954" ht="7.150000095367432" customHeight="1"/>
    <x:row r="955" ht="7.150000095367432" customHeight="1"/>
    <x:row r="956" ht="7.150000095367432" customHeight="1"/>
    <x:row r="957" ht="7.150000095367432" customHeight="1"/>
    <x:row r="958" ht="7.150000095367432" customHeight="1"/>
    <x:row r="959" ht="7.150000095367432" customHeight="1"/>
    <x:row r="960" ht="7.150000095367432" customHeight="1"/>
    <x:row r="961" ht="7.150000095367432" customHeight="1"/>
    <x:row r="962" ht="7.150000095367432" customHeight="1"/>
    <x:row r="963" ht="7.150000095367432" customHeight="1"/>
    <x:row r="964" ht="7.150000095367432" customHeight="1"/>
    <x:row r="965" ht="7.150000095367432" customHeight="1"/>
    <x:row r="966" ht="7.150000095367432" customHeight="1"/>
    <x:row r="967" ht="7.150000095367432" customHeight="1"/>
    <x:row r="968" ht="7.150000095367432" customHeight="1"/>
    <x:row r="969" ht="7.150000095367432" customHeight="1"/>
  </x:sheetData>
  <x:mergeCells>
    <x:mergeCell ref="M33:R33"/>
    <x:mergeCell ref="M34:R34"/>
    <x:mergeCell ref="P5:P7"/>
    <x:mergeCell ref="N11:N14"/>
    <x:mergeCell ref="R11:R14"/>
    <x:mergeCell ref="N18:N20"/>
    <x:mergeCell ref="R18:R20"/>
    <x:mergeCell ref="M28:R28"/>
    <x:mergeCell ref="M32:R32"/>
    <x:mergeCell ref="A9:A25"/>
    <x:mergeCell ref="A1:R1"/>
    <x:mergeCell ref="A2:R2"/>
    <x:mergeCell ref="A3:R3"/>
    <x:mergeCell ref="A5:M5"/>
    <x:mergeCell ref="N5:N7"/>
    <x:mergeCell ref="O5:O7"/>
    <x:mergeCell ref="Q5:Q7"/>
    <x:mergeCell ref="R5:R7"/>
    <x:mergeCell ref="A6:A7"/>
    <x:mergeCell ref="B6:B7"/>
    <x:mergeCell ref="C6:D7"/>
    <x:mergeCell ref="E6:E7"/>
    <x:mergeCell ref="F6:I6"/>
    <x:mergeCell ref="J6:M6"/>
    <x:mergeCell ref="C8:D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3984375" defaultRowHeight="14.25"/>
  <x:cols>
    <x:col min="1" max="1" width="13.73046875" style="198" customWidth="1"/>
    <x:col min="2" max="2" width="3.1328125" style="198" customWidth="1"/>
    <x:col min="3" max="3" width="13.86328125" style="198" customWidth="1"/>
    <x:col min="4" max="4" width="20.86328125" style="198" customWidth="1"/>
    <x:col min="5" max="5" width="3.265625" style="201" customWidth="1"/>
    <x:col min="6" max="6" width="15.53125" style="198" customWidth="1"/>
    <x:col min="7" max="13" width="7.6640625" style="198" customWidth="1"/>
    <x:col min="14" max="14" width="12.9296875" style="198" customWidth="1"/>
    <x:col min="15" max="15" width="13.46484375" style="198" customWidth="1"/>
    <x:col min="16" max="16" width="17.1328125" style="198" customWidth="1"/>
    <x:col min="17" max="17" width="0.1328125" style="198" hidden="1" customWidth="1"/>
    <x:col min="18" max="18" width="12.265625" style="198" hidden="1" customWidth="1"/>
    <x:col min="19" max="19" width="12.59765625" style="198" customWidth="1"/>
    <x:col min="20" max="20" width="12.9296875" style="198" customWidth="1"/>
    <x:col min="21" max="22" width="34.3984375" style="198" customWidth="1"/>
    <x:col min="23" max="23" width="23.46484375" style="198" customWidth="1"/>
    <x:col min="24" max="24" width="10.796875" style="257" customWidth="1"/>
    <x:col min="25" max="30" width="8.73046875" style="198" customWidth="1"/>
    <x:col min="31" max="16384" width="14.3984375" style="198" customWidth="0"/>
  </x:cols>
  <x:sheetData>
    <x:row r="1" ht="7.150000095367432" customHeight="1">
      <x:c r="A1" s="661" t="s">
        <x:v>278</x:v>
      </x:c>
      <x:c r="B1" s="699"/>
      <x:c r="C1" s="699"/>
      <x:c r="D1" s="699"/>
      <x:c r="E1" s="699"/>
      <x:c r="F1" s="699"/>
      <x:c r="G1" s="699"/>
      <x:c r="H1" s="699"/>
      <x:c r="I1" s="699"/>
      <x:c r="J1" s="699"/>
      <x:c r="K1" s="699"/>
      <x:c r="L1" s="699"/>
      <x:c r="M1" s="699"/>
      <x:c r="N1" s="699"/>
      <x:c r="O1" s="699"/>
      <x:c r="P1" s="699"/>
      <x:c r="Q1" s="699"/>
      <x:c r="R1" s="699"/>
      <x:c r="S1" s="699"/>
      <x:c r="T1" s="699"/>
      <x:c r="U1" s="699"/>
      <x:c r="V1" s="699"/>
      <x:c r="W1" s="699"/>
      <x:c r="X1" s="699"/>
    </x:row>
    <x:row r="2" ht="7.150000095367432" customHeight="1">
      <x:c r="A2" s="661" t="s">
        <x:v>1</x:v>
      </x:c>
      <x:c r="B2" s="699"/>
      <x:c r="C2" s="699"/>
      <x:c r="D2" s="699"/>
      <x:c r="E2" s="699"/>
      <x:c r="F2" s="699"/>
      <x:c r="G2" s="699"/>
      <x:c r="H2" s="699"/>
      <x:c r="I2" s="699"/>
      <x:c r="J2" s="699"/>
      <x:c r="K2" s="699"/>
      <x:c r="L2" s="699"/>
      <x:c r="M2" s="699"/>
      <x:c r="N2" s="699"/>
      <x:c r="O2" s="699"/>
      <x:c r="P2" s="699"/>
      <x:c r="Q2" s="699"/>
      <x:c r="R2" s="699"/>
      <x:c r="S2" s="699"/>
      <x:c r="T2" s="699"/>
      <x:c r="U2" s="699"/>
      <x:c r="V2" s="699"/>
      <x:c r="W2" s="699"/>
      <x:c r="X2" s="699"/>
    </x:row>
    <x:row r="3" ht="7.150000095367432" customHeight="1">
      <x:c r="A3" s="661" t="s">
        <x:v>46</x:v>
      </x:c>
      <x:c r="B3" s="699"/>
      <x:c r="C3" s="699"/>
      <x:c r="D3" s="699"/>
      <x:c r="E3" s="699"/>
      <x:c r="F3" s="699"/>
      <x:c r="G3" s="699"/>
      <x:c r="H3" s="699"/>
      <x:c r="I3" s="699"/>
      <x:c r="J3" s="699"/>
      <x:c r="K3" s="699"/>
      <x:c r="L3" s="699"/>
      <x:c r="M3" s="699"/>
      <x:c r="N3" s="699"/>
      <x:c r="O3" s="699"/>
      <x:c r="P3" s="699"/>
      <x:c r="Q3" s="699"/>
      <x:c r="R3" s="699"/>
      <x:c r="S3" s="699"/>
      <x:c r="T3" s="699"/>
      <x:c r="U3" s="699"/>
      <x:c r="V3" s="699"/>
      <x:c r="W3" s="699"/>
      <x:c r="X3" s="699"/>
    </x:row>
    <x:row r="4" ht="7.150000095367432" customHeight="1"/>
    <x:row r="5" ht="10.5" customHeight="1">
      <x:c r="A5" s="700" t="s">
        <x:v>228</x:v>
      </x:c>
      <x:c r="B5" s="701"/>
      <x:c r="C5" s="701"/>
      <x:c r="D5" s="733" t="s">
        <x:v>183</x:v>
      </x:c>
      <x:c r="E5" s="733"/>
      <x:c r="F5" s="733"/>
      <x:c r="G5" s="733"/>
      <x:c r="H5" s="733"/>
      <x:c r="I5" s="733"/>
      <x:c r="J5" s="733"/>
      <x:c r="K5" s="733"/>
      <x:c r="L5" s="733"/>
      <x:c r="M5" s="733"/>
      <x:c r="N5" s="733"/>
      <x:c r="O5" s="733"/>
      <x:c r="P5" s="668" t="s">
        <x:v>52</x:v>
      </x:c>
      <x:c r="Q5" s="391"/>
      <x:c r="R5" s="391"/>
      <x:c r="S5" s="730" t="s">
        <x:v>279</x:v>
      </x:c>
      <x:c r="T5" s="730" t="s">
        <x:v>280</x:v>
      </x:c>
      <x:c r="U5" s="668" t="s">
        <x:v>281</x:v>
      </x:c>
      <x:c r="V5" s="668" t="s">
        <x:v>282</x:v>
      </x:c>
      <x:c r="W5" s="668" t="s">
        <x:v>226</x:v>
      </x:c>
      <x:c r="X5" s="671" t="s">
        <x:v>227</x:v>
      </x:c>
      <x:c r="Y5" s="204"/>
      <x:c r="Z5" s="204"/>
      <x:c r="AA5" s="204"/>
      <x:c r="AB5" s="204"/>
      <x:c r="AC5" s="204"/>
      <x:c r="AD5" s="204"/>
    </x:row>
    <x:row r="6" ht="14.25" customHeight="1">
      <x:c r="A6" s="729" t="s">
        <x:v>228</x:v>
      </x:c>
      <x:c r="B6" s="729" t="s">
        <x:v>283</x:v>
      </x:c>
      <x:c r="C6" s="729"/>
      <x:c r="D6" s="729" t="s">
        <x:v>183</x:v>
      </x:c>
      <x:c r="E6" s="729" t="s">
        <x:v>283</x:v>
      </x:c>
      <x:c r="F6" s="729"/>
      <x:c r="G6" s="729" t="s">
        <x:v>284</x:v>
      </x:c>
      <x:c r="H6" s="729" t="s">
        <x:v>285</x:v>
      </x:c>
      <x:c r="I6" s="729"/>
      <x:c r="J6" s="729"/>
      <x:c r="K6" s="729"/>
      <x:c r="L6" s="729" t="s">
        <x:v>286</x:v>
      </x:c>
      <x:c r="M6" s="729"/>
      <x:c r="N6" s="729"/>
      <x:c r="O6" s="729"/>
      <x:c r="P6" s="669"/>
      <x:c r="Q6" s="206" t="s">
        <x:v>287</x:v>
      </x:c>
      <x:c r="R6" s="206" t="s">
        <x:v>288</x:v>
      </x:c>
      <x:c r="S6" s="731"/>
      <x:c r="T6" s="731"/>
      <x:c r="U6" s="669"/>
      <x:c r="V6" s="669"/>
      <x:c r="W6" s="669"/>
      <x:c r="X6" s="672"/>
    </x:row>
    <x:row r="7" ht="11.649999618530273" customHeight="1">
      <x:c r="A7" s="729"/>
      <x:c r="B7" s="729"/>
      <x:c r="C7" s="729"/>
      <x:c r="D7" s="729"/>
      <x:c r="E7" s="729"/>
      <x:c r="F7" s="729"/>
      <x:c r="G7" s="729"/>
      <x:c r="H7" s="206" t="s">
        <x:v>57</x:v>
      </x:c>
      <x:c r="I7" s="206" t="s">
        <x:v>58</x:v>
      </x:c>
      <x:c r="J7" s="206" t="s">
        <x:v>289</x:v>
      </x:c>
      <x:c r="K7" s="206" t="s">
        <x:v>60</x:v>
      </x:c>
      <x:c r="L7" s="206" t="s">
        <x:v>57</x:v>
      </x:c>
      <x:c r="M7" s="206" t="s">
        <x:v>58</x:v>
      </x:c>
      <x:c r="N7" s="206" t="s">
        <x:v>289</x:v>
      </x:c>
      <x:c r="O7" s="206" t="s">
        <x:v>60</x:v>
      </x:c>
      <x:c r="P7" s="670"/>
      <x:c r="Q7" s="206"/>
      <x:c r="R7" s="206"/>
      <x:c r="S7" s="732"/>
      <x:c r="T7" s="732"/>
      <x:c r="U7" s="670"/>
      <x:c r="V7" s="670"/>
      <x:c r="W7" s="670"/>
      <x:c r="X7" s="673"/>
    </x:row>
    <x:row r="8" ht="7.150000095367432" customHeight="1">
      <x:c r="A8" s="211">
        <x:v>1</x:v>
      </x:c>
      <x:c r="B8" s="692">
        <x:v>2</x:v>
      </x:c>
      <x:c r="C8" s="696"/>
      <x:c r="D8" s="211">
        <x:v>3</x:v>
      </x:c>
      <x:c r="E8" s="692">
        <x:v>4</x:v>
      </x:c>
      <x:c r="F8" s="692"/>
      <x:c r="G8" s="211">
        <x:v>5</x:v>
      </x:c>
      <x:c r="H8" s="211">
        <x:v>6</x:v>
      </x:c>
      <x:c r="I8" s="211">
        <x:v>7</x:v>
      </x:c>
      <x:c r="J8" s="211">
        <x:v>8</x:v>
      </x:c>
      <x:c r="K8" s="211">
        <x:v>9</x:v>
      </x:c>
      <x:c r="L8" s="211">
        <x:v>10</x:v>
      </x:c>
      <x:c r="M8" s="211">
        <x:v>11</x:v>
      </x:c>
      <x:c r="N8" s="211">
        <x:v>12</x:v>
      </x:c>
      <x:c r="O8" s="211">
        <x:v>13</x:v>
      </x:c>
      <x:c r="P8" s="211">
        <x:v>14</x:v>
      </x:c>
      <x:c r="Q8" s="211">
        <x:v>17</x:v>
      </x:c>
      <x:c r="R8" s="211">
        <x:v>18</x:v>
      </x:c>
      <x:c r="S8" s="211">
        <x:v>15</x:v>
      </x:c>
      <x:c r="T8" s="211">
        <x:v>16</x:v>
      </x:c>
      <x:c r="U8" s="211">
        <x:v>17</x:v>
      </x:c>
      <x:c r="V8" s="211">
        <x:v>18</x:v>
      </x:c>
      <x:c r="W8" s="211">
        <x:v>19</x:v>
      </x:c>
      <x:c r="X8" s="392">
        <x:v>20</x:v>
      </x:c>
      <x:c r="Y8" s="197"/>
    </x:row>
    <x:row r="9" ht="16.899999618530273" customHeight="1">
      <x:c r="A9" s="705" t="s">
        <x:v>81</x:v>
      </x:c>
      <x:c r="B9" s="718">
        <x:v>1</x:v>
      </x:c>
      <x:c r="C9" s="697" t="s">
        <x:v>290</x:v>
      </x:c>
      <x:c r="D9" s="705" t="s">
        <x:v>291</x:v>
      </x:c>
      <x:c r="E9" s="214">
        <x:v>1</x:v>
      </x:c>
      <x:c r="F9" s="697" t="s">
        <x:v>292</x:v>
      </x:c>
      <x:c r="G9" s="693" t="s">
        <x:v>40</x:v>
      </x:c>
      <x:c r="H9" s="213">
        <x:v>25</x:v>
      </x:c>
      <x:c r="I9" s="213">
        <x:v>25</x:v>
      </x:c>
      <x:c r="J9" s="213">
        <x:v>25</x:v>
      </x:c>
      <x:c r="K9" s="213">
        <x:v>25</x:v>
      </x:c>
      <x:c r="L9" s="213">
        <x:v>23.75</x:v>
      </x:c>
      <x:c r="M9" s="213">
        <x:v>23.75</x:v>
      </x:c>
      <x:c r="N9" s="216">
        <x:v>23.75</x:v>
      </x:c>
      <x:c r="O9" s="216">
        <x:v>23.75</x:v>
      </x:c>
      <x:c r="P9" s="704" t="s">
        <x:v>84</x:v>
      </x:c>
      <x:c r="Q9" s="292">
        <x:v>6800000000</x:v>
      </x:c>
      <x:c r="R9" s="292">
        <x:v>6120000000</x:v>
      </x:c>
      <x:c r="S9" s="259">
        <x:v>6800000000</x:v>
      </x:c>
      <x:c r="T9" s="260">
        <x:v>6120000000</x:v>
      </x:c>
      <x:c r="U9" s="213" t="s">
        <x:v>293</x:v>
      </x:c>
      <x:c r="V9" s="213" t="s">
        <x:v>294</x:v>
      </x:c>
      <x:c r="W9" s="264" t="s">
        <x:v>295</x:v>
      </x:c>
      <x:c r="X9" s="390" t="s">
        <x:v>87</x:v>
      </x:c>
    </x:row>
    <x:row r="10" ht="9.600000381469727" customHeight="1">
      <x:c r="A10" s="694"/>
      <x:c r="B10" s="719"/>
      <x:c r="C10" s="702"/>
      <x:c r="D10" s="705"/>
      <x:c r="E10" s="214"/>
      <x:c r="F10" s="697"/>
      <x:c r="G10" s="694"/>
      <x:c r="H10" s="274"/>
      <x:c r="I10" s="274"/>
      <x:c r="J10" s="274"/>
      <x:c r="K10" s="274"/>
      <x:c r="L10" s="274"/>
      <x:c r="M10" s="274"/>
      <x:c r="N10" s="216"/>
      <x:c r="O10" s="216"/>
      <x:c r="P10" s="694"/>
      <x:c r="Q10" s="216" t="s">
        <x:v>296</x:v>
      </x:c>
      <x:c r="R10" s="216" t="s">
        <x:v>297</x:v>
      </x:c>
      <x:c r="S10" s="259"/>
      <x:c r="T10" s="260"/>
      <x:c r="U10" s="223"/>
      <x:c r="V10" s="223"/>
      <x:c r="W10" s="265"/>
      <x:c r="X10" s="721"/>
    </x:row>
    <x:row r="11" s="232" customFormat="1" ht="10.149999618530273" customHeight="1">
      <x:c r="A11" s="694"/>
      <x:c r="B11" s="719"/>
      <x:c r="C11" s="702"/>
      <x:c r="D11" s="705"/>
      <x:c r="E11" s="261"/>
      <x:c r="F11" s="697"/>
      <x:c r="G11" s="694"/>
      <x:c r="H11" s="274"/>
      <x:c r="I11" s="274"/>
      <x:c r="J11" s="274"/>
      <x:c r="K11" s="274"/>
      <x:c r="L11" s="274"/>
      <x:c r="M11" s="274"/>
      <x:c r="N11" s="230"/>
      <x:c r="O11" s="230"/>
      <x:c r="P11" s="694"/>
      <x:c r="Q11" s="230" t="s">
        <x:v>298</x:v>
      </x:c>
      <x:c r="R11" s="230" t="s">
        <x:v>299</x:v>
      </x:c>
      <x:c r="S11" s="262"/>
      <x:c r="T11" s="263"/>
      <x:c r="U11" s="223"/>
      <x:c r="V11" s="223"/>
      <x:c r="W11" s="389"/>
      <x:c r="X11" s="721"/>
    </x:row>
    <x:row r="12" ht="13.699999809265137" customHeight="1">
      <x:c r="A12" s="694"/>
      <x:c r="B12" s="719"/>
      <x:c r="C12" s="702"/>
      <x:c r="D12" s="705"/>
      <x:c r="E12" s="214"/>
      <x:c r="F12" s="697"/>
      <x:c r="G12" s="694"/>
      <x:c r="H12" s="274"/>
      <x:c r="I12" s="274"/>
      <x:c r="J12" s="274"/>
      <x:c r="K12" s="274"/>
      <x:c r="L12" s="274"/>
      <x:c r="M12" s="274"/>
      <x:c r="N12" s="216"/>
      <x:c r="O12" s="216"/>
      <x:c r="P12" s="694"/>
      <x:c r="Q12" s="216" t="s">
        <x:v>300</x:v>
      </x:c>
      <x:c r="R12" s="216" t="s">
        <x:v>301</x:v>
      </x:c>
      <x:c r="S12" s="265"/>
      <x:c r="T12" s="266"/>
      <x:c r="U12" s="223"/>
      <x:c r="V12" s="223"/>
      <x:c r="W12" s="265"/>
      <x:c r="X12" s="721"/>
    </x:row>
    <x:row r="13" s="232" customFormat="1" ht="16.700000762939453" customHeight="1">
      <x:c r="A13" s="695"/>
      <x:c r="B13" s="720"/>
      <x:c r="C13" s="703"/>
      <x:c r="D13" s="706"/>
      <x:c r="E13" s="388"/>
      <x:c r="F13" s="698"/>
      <x:c r="G13" s="695"/>
      <x:c r="H13" s="293"/>
      <x:c r="I13" s="293"/>
      <x:c r="J13" s="293"/>
      <x:c r="K13" s="293"/>
      <x:c r="L13" s="293"/>
      <x:c r="M13" s="293"/>
      <x:c r="N13" s="268"/>
      <x:c r="O13" s="268"/>
      <x:c r="P13" s="695"/>
      <x:c r="Q13" s="230" t="s">
        <x:v>302</x:v>
      </x:c>
      <x:c r="R13" s="230" t="s">
        <x:v>303</x:v>
      </x:c>
      <x:c r="S13" s="269"/>
      <x:c r="T13" s="270"/>
      <x:c r="U13" s="253"/>
      <x:c r="V13" s="253"/>
      <x:c r="W13" s="269"/>
      <x:c r="X13" s="722"/>
    </x:row>
    <x:row r="14" ht="7.150000095367432" customHeight="1">
      <x:c r="A14" s="707" t="s">
        <x:v>174</x:v>
      </x:c>
      <x:c r="B14" s="289">
        <x:v>1</x:v>
      </x:c>
      <x:c r="C14" s="708" t="s">
        <x:v>304</x:v>
      </x:c>
      <x:c r="D14" s="710" t="s">
        <x:v>305</x:v>
      </x:c>
      <x:c r="E14" s="258">
        <x:v>1</x:v>
      </x:c>
      <x:c r="F14" s="716" t="s">
        <x:v>306</x:v>
      </x:c>
      <x:c r="G14" s="723" t="s">
        <x:v>40</x:v>
      </x:c>
      <x:c r="H14" s="210">
        <x:v>21.25</x:v>
      </x:c>
      <x:c r="I14" s="210">
        <x:v>21.25</x:v>
      </x:c>
      <x:c r="J14" s="210">
        <x:v>21.25</x:v>
      </x:c>
      <x:c r="K14" s="210">
        <x:v>21.25</x:v>
      </x:c>
      <x:c r="L14" s="210">
        <x:v>20.5</x:v>
      </x:c>
      <x:c r="M14" s="210">
        <x:v>20.5</x:v>
      </x:c>
      <x:c r="N14" s="217">
        <x:v>20.5</x:v>
      </x:c>
      <x:c r="O14" s="217">
        <x:v>20.5</x:v>
      </x:c>
      <x:c r="P14" s="278" t="s">
        <x:v>84</x:v>
      </x:c>
      <x:c r="Q14" s="217">
        <x:v>6800000000</x:v>
      </x:c>
      <x:c r="R14" s="217">
        <x:v>6120000000</x:v>
      </x:c>
      <x:c r="S14" s="271">
        <x:v>6800000000</x:v>
      </x:c>
      <x:c r="T14" s="272">
        <x:v>6120000000</x:v>
      </x:c>
      <x:c r="U14" s="277" t="s">
        <x:v>307</x:v>
      </x:c>
      <x:c r="V14" s="277" t="s">
        <x:v>308</x:v>
      </x:c>
      <x:c r="W14" s="724" t="s">
        <x:v>309</x:v>
      </x:c>
      <x:c r="X14" s="726" t="s">
        <x:v>75</x:v>
      </x:c>
    </x:row>
    <x:row r="15" ht="7.150000095367432" customHeight="1">
      <x:c r="A15" s="694"/>
      <x:c r="B15" s="276"/>
      <x:c r="C15" s="709"/>
      <x:c r="D15" s="728"/>
      <x:c r="E15" s="214"/>
      <x:c r="F15" s="717"/>
      <x:c r="G15" s="694"/>
      <x:c r="H15" s="274"/>
      <x:c r="I15" s="274"/>
      <x:c r="J15" s="274"/>
      <x:c r="K15" s="274"/>
      <x:c r="L15" s="274"/>
      <x:c r="M15" s="274"/>
      <x:c r="N15" s="216"/>
      <x:c r="O15" s="216"/>
      <x:c r="P15" s="274"/>
      <x:c r="Q15" s="216" t="s">
        <x:v>310</x:v>
      </x:c>
      <x:c r="R15" s="216" t="s">
        <x:v>311</x:v>
      </x:c>
      <x:c r="S15" s="265"/>
      <x:c r="T15" s="266"/>
      <x:c r="U15" s="223"/>
      <x:c r="V15" s="223"/>
      <x:c r="W15" s="725"/>
      <x:c r="X15" s="727"/>
    </x:row>
    <x:row r="16" ht="9" customHeight="1">
      <x:c r="A16" s="694"/>
      <x:c r="B16" s="276"/>
      <x:c r="C16" s="709"/>
      <x:c r="D16" s="728"/>
      <x:c r="E16" s="214"/>
      <x:c r="F16" s="717"/>
      <x:c r="G16" s="694"/>
      <x:c r="H16" s="274"/>
      <x:c r="I16" s="274"/>
      <x:c r="J16" s="274"/>
      <x:c r="K16" s="274"/>
      <x:c r="L16" s="274"/>
      <x:c r="M16" s="274"/>
      <x:c r="N16" s="216"/>
      <x:c r="O16" s="216"/>
      <x:c r="P16" s="274"/>
      <x:c r="Q16" s="216" t="s">
        <x:v>312</x:v>
      </x:c>
      <x:c r="R16" s="216" t="s">
        <x:v>313</x:v>
      </x:c>
      <x:c r="S16" s="265"/>
      <x:c r="T16" s="266"/>
      <x:c r="U16" s="223"/>
      <x:c r="V16" s="223"/>
      <x:c r="W16" s="725"/>
      <x:c r="X16" s="727"/>
    </x:row>
    <x:row r="17" ht="10.699999809265137" customHeight="1">
      <x:c r="A17" s="694"/>
      <x:c r="B17" s="276"/>
      <x:c r="C17" s="709"/>
      <x:c r="D17" s="728"/>
      <x:c r="E17" s="214"/>
      <x:c r="F17" s="717"/>
      <x:c r="G17" s="694"/>
      <x:c r="H17" s="274"/>
      <x:c r="I17" s="274"/>
      <x:c r="J17" s="274"/>
      <x:c r="K17" s="274"/>
      <x:c r="L17" s="274"/>
      <x:c r="M17" s="274"/>
      <x:c r="N17" s="216"/>
      <x:c r="O17" s="216"/>
      <x:c r="P17" s="274"/>
      <x:c r="Q17" s="216" t="s">
        <x:v>314</x:v>
      </x:c>
      <x:c r="R17" s="216" t="s">
        <x:v>315</x:v>
      </x:c>
      <x:c r="S17" s="265"/>
      <x:c r="T17" s="266"/>
      <x:c r="U17" s="223"/>
      <x:c r="V17" s="223"/>
      <x:c r="W17" s="725"/>
      <x:c r="X17" s="727"/>
    </x:row>
    <x:row r="18" ht="15.949999809265137" customHeight="1">
      <x:c r="A18" s="694"/>
      <x:c r="B18" s="276"/>
      <x:c r="C18" s="709"/>
      <x:c r="D18" s="728"/>
      <x:c r="E18" s="214"/>
      <x:c r="F18" s="717"/>
      <x:c r="G18" s="213"/>
      <x:c r="H18" s="213"/>
      <x:c r="I18" s="213"/>
      <x:c r="J18" s="213"/>
      <x:c r="K18" s="213"/>
      <x:c r="L18" s="213"/>
      <x:c r="M18" s="213"/>
      <x:c r="N18" s="216"/>
      <x:c r="O18" s="216"/>
      <x:c r="P18" s="274"/>
      <x:c r="Q18" s="216"/>
      <x:c r="R18" s="216"/>
      <x:c r="S18" s="265"/>
      <x:c r="T18" s="266"/>
      <x:c r="U18" s="223"/>
      <x:c r="V18" s="223"/>
      <x:c r="W18" s="725"/>
      <x:c r="X18" s="727"/>
    </x:row>
    <x:row r="19" ht="7.150000095367432" customHeight="1">
      <x:c r="A19" s="694"/>
      <x:c r="B19" s="276"/>
      <x:c r="C19" s="709"/>
      <x:c r="D19" s="728"/>
      <x:c r="E19" s="275"/>
      <x:c r="F19" s="717"/>
      <x:c r="G19" s="264"/>
      <x:c r="H19" s="264"/>
      <x:c r="I19" s="264"/>
      <x:c r="J19" s="264"/>
      <x:c r="K19" s="264"/>
      <x:c r="L19" s="264"/>
      <x:c r="M19" s="264"/>
      <x:c r="N19" s="264"/>
      <x:c r="O19" s="264"/>
      <x:c r="P19" s="274"/>
      <x:c r="Q19" s="216" t="s">
        <x:v>316</x:v>
      </x:c>
      <x:c r="R19" s="216" t="s">
        <x:v>317</x:v>
      </x:c>
      <x:c r="S19" s="280"/>
      <x:c r="T19" s="291"/>
      <x:c r="U19" s="223"/>
      <x:c r="V19" s="223"/>
      <x:c r="W19" s="281"/>
      <x:c r="X19" s="285"/>
    </x:row>
    <x:row r="20" ht="7.150000095367432" customHeight="1">
      <x:c r="A20" s="694"/>
      <x:c r="B20" s="276"/>
      <x:c r="C20" s="273"/>
      <x:c r="D20" s="728"/>
      <x:c r="E20" s="275"/>
      <x:c r="F20" s="279"/>
      <x:c r="G20" s="264"/>
      <x:c r="H20" s="264"/>
      <x:c r="I20" s="264"/>
      <x:c r="J20" s="264"/>
      <x:c r="K20" s="264"/>
      <x:c r="L20" s="264"/>
      <x:c r="M20" s="264"/>
      <x:c r="N20" s="264"/>
      <x:c r="O20" s="264"/>
      <x:c r="P20" s="274"/>
      <x:c r="Q20" s="216" t="s">
        <x:v>318</x:v>
      </x:c>
      <x:c r="R20" s="216" t="s">
        <x:v>319</x:v>
      </x:c>
      <x:c r="S20" s="280"/>
      <x:c r="T20" s="397"/>
      <x:c r="U20" s="223"/>
      <x:c r="V20" s="223"/>
      <x:c r="W20" s="281"/>
      <x:c r="X20" s="285"/>
    </x:row>
    <x:row r="21" ht="7.150000095367432" customHeight="1">
      <x:c r="A21" s="694"/>
      <x:c r="B21" s="276"/>
      <x:c r="C21" s="273"/>
      <x:c r="D21" s="264"/>
      <x:c r="E21" s="275"/>
      <x:c r="F21" s="279"/>
      <x:c r="G21" s="264"/>
      <x:c r="H21" s="264"/>
      <x:c r="I21" s="264"/>
      <x:c r="J21" s="264"/>
      <x:c r="K21" s="264"/>
      <x:c r="L21" s="264"/>
      <x:c r="M21" s="264"/>
      <x:c r="N21" s="264"/>
      <x:c r="O21" s="264"/>
      <x:c r="P21" s="293"/>
      <x:c r="Q21" s="382" t="s">
        <x:v>320</x:v>
      </x:c>
      <x:c r="R21" s="382" t="s">
        <x:v>321</x:v>
      </x:c>
      <x:c r="S21" s="398"/>
      <x:c r="T21" s="399"/>
      <x:c r="U21" s="253"/>
      <x:c r="V21" s="253"/>
      <x:c r="W21" s="286"/>
      <x:c r="X21" s="287"/>
    </x:row>
    <x:row r="22" ht="7.5" customHeight="1">
      <x:c r="A22" s="694"/>
      <x:c r="B22" s="387">
        <x:v>2</x:v>
      </x:c>
      <x:c r="C22" s="708" t="s">
        <x:v>322</x:v>
      </x:c>
      <x:c r="D22" s="710" t="s">
        <x:v>323</x:v>
      </x:c>
      <x:c r="E22" s="258">
        <x:v>2</x:v>
      </x:c>
      <x:c r="F22" s="716" t="s">
        <x:v>324</x:v>
      </x:c>
      <x:c r="G22" s="723" t="s">
        <x:v>40</x:v>
      </x:c>
      <x:c r="H22" s="210">
        <x:v>22.5</x:v>
      </x:c>
      <x:c r="I22" s="210">
        <x:v>22.5</x:v>
      </x:c>
      <x:c r="J22" s="210">
        <x:v>22.5</x:v>
      </x:c>
      <x:c r="K22" s="210">
        <x:v>22.5</x:v>
      </x:c>
      <x:c r="L22" s="210">
        <x:v>21.5</x:v>
      </x:c>
      <x:c r="M22" s="210">
        <x:v>21.5</x:v>
      </x:c>
      <x:c r="N22" s="217">
        <x:v>21.5</x:v>
      </x:c>
      <x:c r="O22" s="217">
        <x:v>21.5</x:v>
      </x:c>
      <x:c r="P22" s="274" t="s">
        <x:v>84</x:v>
      </x:c>
      <x:c r="Q22" s="216">
        <x:v>6800000000</x:v>
      </x:c>
      <x:c r="R22" s="216">
        <x:v>6120000000</x:v>
      </x:c>
      <x:c r="S22" s="265">
        <x:v>6800000000</x:v>
      </x:c>
      <x:c r="T22" s="266">
        <x:v>6120000000</x:v>
      </x:c>
      <x:c r="U22" s="223" t="s">
        <x:v>325</x:v>
      </x:c>
      <x:c r="V22" s="223" t="s">
        <x:v>326</x:v>
      </x:c>
      <x:c r="W22" s="264" t="s">
        <x:v>327</x:v>
      </x:c>
      <x:c r="X22" s="285" t="s">
        <x:v>75</x:v>
      </x:c>
    </x:row>
    <x:row r="23" ht="7.150000095367432" customHeight="1">
      <x:c r="A23" s="694"/>
      <x:c r="B23" s="276"/>
      <x:c r="C23" s="709"/>
      <x:c r="D23" s="728"/>
      <x:c r="E23" s="214"/>
      <x:c r="F23" s="717"/>
      <x:c r="G23" s="694"/>
      <x:c r="H23" s="274"/>
      <x:c r="I23" s="274"/>
      <x:c r="J23" s="274"/>
      <x:c r="K23" s="274"/>
      <x:c r="L23" s="274"/>
      <x:c r="M23" s="274"/>
      <x:c r="N23" s="216"/>
      <x:c r="O23" s="216"/>
      <x:c r="P23" s="274"/>
      <x:c r="S23" s="265"/>
      <x:c r="T23" s="266"/>
      <x:c r="U23" s="223"/>
      <x:c r="V23" s="223"/>
      <x:c r="W23" s="264"/>
      <x:c r="X23" s="285"/>
    </x:row>
    <x:row r="24" ht="7.150000095367432" customHeight="1">
      <x:c r="A24" s="264"/>
      <x:c r="B24" s="276"/>
      <x:c r="C24" s="709"/>
      <x:c r="D24" s="728"/>
      <x:c r="E24" s="214"/>
      <x:c r="F24" s="717"/>
      <x:c r="G24" s="694"/>
      <x:c r="H24" s="274"/>
      <x:c r="I24" s="274"/>
      <x:c r="J24" s="274"/>
      <x:c r="K24" s="274"/>
      <x:c r="L24" s="274"/>
      <x:c r="M24" s="274"/>
      <x:c r="N24" s="216"/>
      <x:c r="O24" s="216"/>
      <x:c r="P24" s="264"/>
      <x:c r="S24" s="265"/>
      <x:c r="T24" s="266"/>
      <x:c r="U24" s="223"/>
      <x:c r="V24" s="223"/>
      <x:c r="W24" s="264"/>
      <x:c r="X24" s="285"/>
    </x:row>
    <x:row r="25" ht="30" customHeight="1">
      <x:c r="A25" s="264"/>
      <x:c r="B25" s="276"/>
      <x:c r="C25" s="709"/>
      <x:c r="D25" s="728"/>
      <x:c r="E25" s="214"/>
      <x:c r="F25" s="717"/>
      <x:c r="G25" s="694"/>
      <x:c r="H25" s="274"/>
      <x:c r="I25" s="274"/>
      <x:c r="J25" s="274"/>
      <x:c r="K25" s="274"/>
      <x:c r="L25" s="274"/>
      <x:c r="M25" s="274"/>
      <x:c r="N25" s="216"/>
      <x:c r="O25" s="216"/>
      <x:c r="P25" s="264"/>
      <x:c r="Q25" s="283"/>
      <x:c r="R25" s="283"/>
      <x:c r="S25" s="282"/>
      <x:c r="T25" s="284"/>
      <x:c r="U25" s="396"/>
      <x:c r="V25" s="396"/>
      <x:c r="W25" s="251"/>
      <x:c r="X25" s="287"/>
    </x:row>
    <x:row r="26" ht="41.25" customHeight="1">
      <x:c r="A26" s="710" t="s">
        <x:v>328</x:v>
      </x:c>
      <x:c r="B26" s="387">
        <x:v>1</x:v>
      </x:c>
      <x:c r="C26" s="381" t="s">
        <x:v>329</x:v>
      </x:c>
      <x:c r="D26" s="395" t="s">
        <x:v>330</x:v>
      </x:c>
      <x:c r="E26" s="258">
        <x:v>1</x:v>
      </x:c>
      <x:c r="F26" s="381" t="s">
        <x:v>331</x:v>
      </x:c>
      <x:c r="G26" s="210" t="s">
        <x:v>17</x:v>
      </x:c>
      <x:c r="H26" s="210">
        <x:v>0.75</x:v>
      </x:c>
      <x:c r="I26" s="210">
        <x:v>0.75</x:v>
      </x:c>
      <x:c r="J26" s="210">
        <x:v>0.75</x:v>
      </x:c>
      <x:c r="K26" s="210">
        <x:v>0.75</x:v>
      </x:c>
      <x:c r="L26" s="210">
        <x:v>0.75</x:v>
      </x:c>
      <x:c r="M26" s="210">
        <x:v>0.75</x:v>
      </x:c>
      <x:c r="N26" s="217">
        <x:v>0.75</x:v>
      </x:c>
      <x:c r="O26" s="217">
        <x:v>0.75</x:v>
      </x:c>
      <x:c r="P26" s="278" t="s">
        <x:v>187</x:v>
      </x:c>
      <x:c r="Q26" s="218">
        <x:v>1988768787</x:v>
      </x:c>
      <x:c r="R26" s="218">
        <x:v>1789891908</x:v>
      </x:c>
      <x:c r="S26" s="393">
        <x:v>1988768787</x:v>
      </x:c>
      <x:c r="T26" s="394">
        <x:v>1789891908</x:v>
      </x:c>
      <x:c r="U26" s="218" t="s">
        <x:v>332</x:v>
      </x:c>
      <x:c r="V26" s="218" t="s">
        <x:v>333</x:v>
      </x:c>
      <x:c r="W26" s="218" t="s">
        <x:v>334</x:v>
      </x:c>
      <x:c r="X26" s="290" t="s">
        <x:v>80</x:v>
      </x:c>
    </x:row>
    <x:row r="27" ht="22.899999618530273" customHeight="1">
      <x:c r="A27" s="711"/>
      <x:c r="B27" s="386"/>
      <x:c r="C27" s="385"/>
      <x:c r="D27" s="267"/>
      <x:c r="E27" s="384"/>
      <x:c r="F27" s="383"/>
      <x:c r="G27" s="382"/>
      <x:c r="H27" s="382"/>
      <x:c r="I27" s="382"/>
      <x:c r="J27" s="382"/>
      <x:c r="K27" s="382"/>
      <x:c r="L27" s="382"/>
      <x:c r="M27" s="382"/>
      <x:c r="N27" s="382"/>
      <x:c r="O27" s="382"/>
      <x:c r="P27" s="286"/>
      <x:c r="Q27" s="382"/>
      <x:c r="R27" s="382"/>
      <x:c r="S27" s="282"/>
      <x:c r="T27" s="282"/>
      <x:c r="U27" s="288"/>
      <x:c r="V27" s="288"/>
      <x:c r="W27" s="251"/>
      <x:c r="X27" s="287"/>
    </x:row>
    <x:row r="28" ht="26.649999618530273" customHeight="1">
      <x:c r="A28" s="405" t="s">
        <x:v>335</x:v>
      </x:c>
      <x:c r="B28" s="400"/>
      <x:c r="C28" s="400"/>
      <x:c r="D28" s="400"/>
      <x:c r="E28" s="401"/>
      <x:c r="F28" s="400"/>
      <x:c r="G28" s="400"/>
      <x:c r="H28" s="400">
        <x:v>25</x:v>
      </x:c>
      <x:c r="I28" s="400">
        <x:v>25</x:v>
      </x:c>
      <x:c r="J28" s="400">
        <x:v>25</x:v>
      </x:c>
      <x:c r="K28" s="400">
        <x:v>25</x:v>
      </x:c>
      <x:c r="L28" s="400">
        <x:v>24.5</x:v>
      </x:c>
      <x:c r="M28" s="400">
        <x:v>24.5</x:v>
      </x:c>
      <x:c r="N28" s="400">
        <x:v>24.5</x:v>
      </x:c>
      <x:c r="O28" s="400">
        <x:v>24.5</x:v>
      </x:c>
      <x:c r="P28" s="403" t="s">
        <x:v>102</x:v>
      </x:c>
      <x:c r="Q28" s="400">
        <x:v>8800000000</x:v>
      </x:c>
      <x:c r="R28" s="400">
        <x:v>7920000000</x:v>
      </x:c>
      <x:c r="S28" s="404">
        <x:v>8800000000</x:v>
      </x:c>
      <x:c r="T28" s="404">
        <x:v>7920000000</x:v>
      </x:c>
      <x:c r="U28" s="400" t="s">
        <x:v>336</x:v>
      </x:c>
      <x:c r="V28" s="400" t="s">
        <x:v>337</x:v>
      </x:c>
      <x:c r="W28" s="400" t="s">
        <x:v>338</x:v>
      </x:c>
      <x:c r="X28" s="402" t="s">
        <x:v>105</x:v>
      </x:c>
    </x:row>
    <x:row r="29" ht="7.150000095367432" customHeight="1"/>
    <x:row r="30" ht="7.150000095367432" customHeight="1">
      <x:c r="S30" s="712" t="s">
        <x:v>339</x:v>
      </x:c>
      <x:c r="T30" s="713"/>
      <x:c r="U30" s="713"/>
      <x:c r="V30" s="713"/>
      <x:c r="W30" s="713"/>
      <x:c r="X30" s="713"/>
    </x:row>
    <x:row r="31" ht="7.150000095367432" customHeight="1">
      <x:c r="S31" s="255"/>
      <x:c r="T31" s="255"/>
      <x:c r="U31" s="255"/>
      <x:c r="V31" s="255"/>
      <x:c r="W31" s="255"/>
      <x:c r="X31" s="256"/>
    </x:row>
    <x:row r="32" ht="7.150000095367432" customHeight="1">
      <x:c r="S32" s="255"/>
      <x:c r="T32" s="255"/>
      <x:c r="U32" s="255"/>
      <x:c r="V32" s="255"/>
      <x:c r="W32" s="255"/>
      <x:c r="X32" s="256"/>
    </x:row>
    <x:row r="33" ht="12.949999809265137" customHeight="1">
      <x:c r="S33" s="255"/>
      <x:c r="T33" s="255"/>
      <x:c r="U33" s="255"/>
      <x:c r="V33" s="255"/>
      <x:c r="W33" s="255"/>
      <x:c r="X33" s="256"/>
    </x:row>
    <x:row r="34" ht="12" customHeight="1">
      <x:c r="S34" s="714" t="s">
        <x:v>340</x:v>
      </x:c>
      <x:c r="T34" s="715"/>
      <x:c r="U34" s="715"/>
      <x:c r="V34" s="715"/>
      <x:c r="W34" s="715"/>
      <x:c r="X34" s="715"/>
    </x:row>
    <x:row r="35" ht="9.600000381469727" customHeight="1">
      <x:c r="S35" s="712" t="s">
        <x:v>341</x:v>
      </x:c>
      <x:c r="T35" s="713"/>
      <x:c r="U35" s="713"/>
      <x:c r="V35" s="713"/>
      <x:c r="W35" s="713"/>
      <x:c r="X35" s="713"/>
    </x:row>
    <x:row r="36" ht="8.25" customHeight="1">
      <x:c r="S36" s="712" t="s">
        <x:v>342</x:v>
      </x:c>
      <x:c r="T36" s="713"/>
      <x:c r="U36" s="713"/>
      <x:c r="V36" s="713"/>
      <x:c r="W36" s="713"/>
      <x:c r="X36" s="713"/>
    </x:row>
    <x:row r="37" ht="7.150000095367432" customHeight="1"/>
    <x:row r="38" ht="7.150000095367432" customHeight="1"/>
    <x:row r="39" ht="7.150000095367432" customHeight="1"/>
    <x:row r="40" ht="7.150000095367432" customHeight="1"/>
    <x:row r="41" ht="7.150000095367432" customHeight="1"/>
    <x:row r="42" ht="7.150000095367432" customHeight="1"/>
    <x:row r="43" ht="7.150000095367432" customHeight="1"/>
    <x:row r="44" ht="7.150000095367432" customHeight="1"/>
    <x:row r="45" ht="7.150000095367432" customHeight="1"/>
    <x:row r="46" ht="7.150000095367432" customHeight="1"/>
    <x:row r="47" ht="7.150000095367432" customHeight="1"/>
    <x:row r="48" ht="7.150000095367432" customHeight="1"/>
    <x:row r="49" ht="7.150000095367432" customHeight="1"/>
    <x:row r="50" ht="7.150000095367432" customHeight="1"/>
    <x:row r="51" ht="7.150000095367432" customHeight="1"/>
    <x:row r="52" ht="7.150000095367432" customHeight="1"/>
    <x:row r="53" ht="7.150000095367432" customHeight="1"/>
    <x:row r="54" ht="7.150000095367432" customHeight="1"/>
    <x:row r="55" ht="7.150000095367432" customHeight="1"/>
    <x:row r="56" ht="7.150000095367432" customHeight="1"/>
    <x:row r="57" ht="7.150000095367432" customHeight="1"/>
    <x:row r="58" ht="7.150000095367432" customHeight="1"/>
    <x:row r="59" ht="7.150000095367432" customHeight="1"/>
    <x:row r="60" ht="7.150000095367432" customHeight="1"/>
    <x:row r="61" ht="7.150000095367432" customHeight="1"/>
    <x:row r="62" ht="7.150000095367432" customHeight="1"/>
    <x:row r="63" ht="7.150000095367432" customHeight="1"/>
    <x:row r="64" ht="7.150000095367432" customHeight="1"/>
    <x:row r="65" ht="7.150000095367432" customHeight="1"/>
    <x:row r="66" ht="7.150000095367432" customHeight="1"/>
    <x:row r="67" ht="7.150000095367432" customHeight="1"/>
    <x:row r="68" ht="7.150000095367432" customHeight="1"/>
    <x:row r="69" ht="7.150000095367432" customHeight="1"/>
    <x:row r="70" ht="7.150000095367432" customHeight="1"/>
    <x:row r="71" ht="7.150000095367432" customHeight="1"/>
    <x:row r="72" ht="7.150000095367432" customHeight="1"/>
    <x:row r="73" ht="7.150000095367432" customHeight="1"/>
    <x:row r="74" ht="7.150000095367432" customHeight="1"/>
    <x:row r="75" ht="7.150000095367432" customHeight="1"/>
    <x:row r="76" ht="7.150000095367432" customHeight="1"/>
    <x:row r="77" ht="7.150000095367432" customHeight="1"/>
    <x:row r="78" ht="7.150000095367432" customHeight="1"/>
    <x:row r="79" ht="7.150000095367432" customHeight="1"/>
    <x:row r="80" ht="7.150000095367432" customHeight="1"/>
    <x:row r="81" ht="7.150000095367432" customHeight="1"/>
    <x:row r="82" ht="7.150000095367432" customHeight="1"/>
    <x:row r="83" ht="7.150000095367432" customHeight="1"/>
    <x:row r="84" ht="7.150000095367432" customHeight="1"/>
    <x:row r="85" ht="7.150000095367432" customHeight="1"/>
    <x:row r="86" ht="7.150000095367432" customHeight="1"/>
    <x:row r="87" ht="7.150000095367432" customHeight="1"/>
    <x:row r="88" ht="7.150000095367432" customHeight="1"/>
    <x:row r="89" ht="7.150000095367432" customHeight="1"/>
    <x:row r="90" ht="7.150000095367432" customHeight="1"/>
    <x:row r="91" ht="7.150000095367432" customHeight="1"/>
    <x:row r="92" ht="7.150000095367432" customHeight="1"/>
    <x:row r="93" ht="7.150000095367432" customHeight="1"/>
    <x:row r="94" ht="7.150000095367432" customHeight="1"/>
    <x:row r="95" ht="7.150000095367432" customHeight="1"/>
    <x:row r="96" ht="7.150000095367432" customHeight="1"/>
    <x:row r="97" ht="7.150000095367432" customHeight="1"/>
    <x:row r="98" ht="7.150000095367432" customHeight="1"/>
    <x:row r="99" ht="7.150000095367432" customHeight="1"/>
    <x:row r="100" ht="7.150000095367432" customHeight="1"/>
    <x:row r="101" ht="7.150000095367432" customHeight="1"/>
    <x:row r="102" ht="7.150000095367432" customHeight="1"/>
    <x:row r="103" ht="7.150000095367432" customHeight="1"/>
    <x:row r="104" ht="7.150000095367432" customHeight="1"/>
    <x:row r="105" ht="7.150000095367432" customHeight="1"/>
    <x:row r="106" ht="7.150000095367432" customHeight="1"/>
    <x:row r="107" ht="7.150000095367432" customHeight="1"/>
    <x:row r="108" ht="7.150000095367432" customHeight="1"/>
    <x:row r="109" ht="7.150000095367432" customHeight="1"/>
    <x:row r="110" ht="7.150000095367432" customHeight="1"/>
    <x:row r="111" ht="7.150000095367432" customHeight="1"/>
    <x:row r="112" ht="7.150000095367432" customHeight="1"/>
    <x:row r="113" ht="7.150000095367432" customHeight="1"/>
    <x:row r="114" ht="7.150000095367432" customHeight="1"/>
    <x:row r="115" ht="7.150000095367432" customHeight="1"/>
    <x:row r="116" ht="7.150000095367432" customHeight="1"/>
    <x:row r="117" ht="7.150000095367432" customHeight="1"/>
    <x:row r="118" ht="7.150000095367432" customHeight="1"/>
    <x:row r="119" ht="7.150000095367432" customHeight="1"/>
    <x:row r="120" ht="7.150000095367432" customHeight="1"/>
    <x:row r="121" ht="7.150000095367432" customHeight="1"/>
    <x:row r="122" ht="7.150000095367432" customHeight="1"/>
    <x:row r="123" ht="7.150000095367432" customHeight="1"/>
    <x:row r="124" ht="7.150000095367432" customHeight="1"/>
    <x:row r="125" ht="7.150000095367432" customHeight="1"/>
    <x:row r="126" ht="7.150000095367432" customHeight="1"/>
    <x:row r="127" ht="7.150000095367432" customHeight="1"/>
    <x:row r="128" ht="7.150000095367432" customHeight="1"/>
    <x:row r="129" ht="7.150000095367432" customHeight="1"/>
    <x:row r="130" ht="7.150000095367432" customHeight="1"/>
    <x:row r="131" ht="7.150000095367432" customHeight="1"/>
    <x:row r="132" ht="7.150000095367432" customHeight="1"/>
    <x:row r="133" ht="7.150000095367432" customHeight="1"/>
    <x:row r="134" ht="7.150000095367432" customHeight="1"/>
    <x:row r="135" ht="7.150000095367432" customHeight="1"/>
    <x:row r="136" ht="7.150000095367432" customHeight="1"/>
    <x:row r="137" ht="7.150000095367432" customHeight="1"/>
    <x:row r="138" ht="7.150000095367432" customHeight="1"/>
    <x:row r="139" ht="7.150000095367432" customHeight="1"/>
    <x:row r="140" ht="7.150000095367432" customHeight="1"/>
    <x:row r="141" ht="7.150000095367432" customHeight="1"/>
    <x:row r="142" ht="7.150000095367432" customHeight="1"/>
    <x:row r="143" ht="7.150000095367432" customHeight="1"/>
    <x:row r="144" ht="7.150000095367432" customHeight="1"/>
    <x:row r="145" ht="7.150000095367432" customHeight="1"/>
    <x:row r="146" ht="7.150000095367432" customHeight="1"/>
    <x:row r="147" ht="7.150000095367432" customHeight="1"/>
    <x:row r="148" ht="7.150000095367432" customHeight="1"/>
    <x:row r="149" ht="7.150000095367432" customHeight="1"/>
    <x:row r="150" ht="7.150000095367432" customHeight="1"/>
    <x:row r="151" ht="7.150000095367432" customHeight="1"/>
    <x:row r="152" ht="7.150000095367432" customHeight="1"/>
    <x:row r="153" ht="7.150000095367432" customHeight="1"/>
    <x:row r="154" ht="7.150000095367432" customHeight="1"/>
    <x:row r="155" ht="7.150000095367432" customHeight="1"/>
    <x:row r="156" ht="7.150000095367432" customHeight="1"/>
    <x:row r="157" ht="7.150000095367432" customHeight="1"/>
    <x:row r="158" ht="7.150000095367432" customHeight="1"/>
    <x:row r="159" ht="7.150000095367432" customHeight="1"/>
    <x:row r="160" ht="7.150000095367432" customHeight="1"/>
    <x:row r="161" ht="7.150000095367432" customHeight="1"/>
    <x:row r="162" ht="7.150000095367432" customHeight="1"/>
    <x:row r="163" ht="7.150000095367432" customHeight="1"/>
    <x:row r="164" ht="7.150000095367432" customHeight="1"/>
    <x:row r="165" ht="7.150000095367432" customHeight="1"/>
    <x:row r="166" ht="7.150000095367432" customHeight="1"/>
    <x:row r="167" ht="7.150000095367432" customHeight="1"/>
    <x:row r="168" ht="7.150000095367432" customHeight="1"/>
    <x:row r="169" ht="7.150000095367432" customHeight="1"/>
    <x:row r="170" ht="7.150000095367432" customHeight="1"/>
    <x:row r="171" ht="7.150000095367432" customHeight="1"/>
    <x:row r="172" ht="7.150000095367432" customHeight="1"/>
    <x:row r="173" ht="7.150000095367432" customHeight="1"/>
    <x:row r="174" ht="7.150000095367432" customHeight="1"/>
    <x:row r="175" ht="7.150000095367432" customHeight="1"/>
    <x:row r="176" ht="7.150000095367432" customHeight="1"/>
    <x:row r="177" ht="7.150000095367432" customHeight="1"/>
    <x:row r="178" ht="7.150000095367432" customHeight="1"/>
    <x:row r="179" ht="7.150000095367432" customHeight="1"/>
    <x:row r="180" ht="7.150000095367432" customHeight="1"/>
    <x:row r="181" ht="7.150000095367432" customHeight="1"/>
    <x:row r="182" ht="7.150000095367432" customHeight="1"/>
    <x:row r="183" ht="7.150000095367432" customHeight="1"/>
    <x:row r="184" ht="7.150000095367432" customHeight="1"/>
    <x:row r="185" ht="7.150000095367432" customHeight="1"/>
    <x:row r="186" ht="7.150000095367432" customHeight="1"/>
    <x:row r="187" ht="7.150000095367432" customHeight="1"/>
    <x:row r="188" ht="7.150000095367432" customHeight="1"/>
    <x:row r="189" ht="7.150000095367432" customHeight="1"/>
    <x:row r="190" ht="7.150000095367432" customHeight="1"/>
    <x:row r="191" ht="7.150000095367432" customHeight="1"/>
    <x:row r="192" ht="7.150000095367432" customHeight="1"/>
    <x:row r="193" ht="7.150000095367432" customHeight="1"/>
    <x:row r="194" ht="7.150000095367432" customHeight="1"/>
    <x:row r="195" ht="7.150000095367432" customHeight="1"/>
    <x:row r="196" ht="7.150000095367432" customHeight="1"/>
    <x:row r="197" ht="7.150000095367432" customHeight="1"/>
    <x:row r="198" ht="7.150000095367432" customHeight="1"/>
    <x:row r="199" ht="7.150000095367432" customHeight="1"/>
    <x:row r="200" ht="7.150000095367432" customHeight="1"/>
    <x:row r="201" ht="7.150000095367432" customHeight="1"/>
    <x:row r="202" ht="7.150000095367432" customHeight="1"/>
    <x:row r="203" ht="7.150000095367432" customHeight="1"/>
    <x:row r="204" ht="7.150000095367432" customHeight="1"/>
    <x:row r="205" ht="7.150000095367432" customHeight="1"/>
    <x:row r="206" ht="7.150000095367432" customHeight="1"/>
    <x:row r="207" ht="7.150000095367432" customHeight="1"/>
    <x:row r="208" ht="7.150000095367432" customHeight="1"/>
    <x:row r="209" ht="7.150000095367432" customHeight="1"/>
    <x:row r="210" ht="7.150000095367432" customHeight="1"/>
    <x:row r="211" ht="7.150000095367432" customHeight="1"/>
    <x:row r="212" ht="7.150000095367432" customHeight="1"/>
    <x:row r="213" ht="7.150000095367432" customHeight="1"/>
    <x:row r="214" ht="7.150000095367432" customHeight="1"/>
    <x:row r="215" ht="7.150000095367432" customHeight="1"/>
    <x:row r="216" ht="7.150000095367432" customHeight="1"/>
    <x:row r="217" ht="7.150000095367432" customHeight="1"/>
    <x:row r="218" ht="7.150000095367432" customHeight="1"/>
    <x:row r="219" ht="7.150000095367432" customHeight="1"/>
    <x:row r="220" ht="7.150000095367432" customHeight="1"/>
    <x:row r="221" ht="7.150000095367432" customHeight="1"/>
    <x:row r="222" ht="7.150000095367432" customHeight="1"/>
    <x:row r="223" ht="7.150000095367432" customHeight="1"/>
    <x:row r="224" ht="7.150000095367432" customHeight="1"/>
    <x:row r="225" ht="7.150000095367432" customHeight="1"/>
    <x:row r="226" ht="7.150000095367432" customHeight="1"/>
    <x:row r="227" ht="7.150000095367432" customHeight="1"/>
    <x:row r="228" ht="7.150000095367432" customHeight="1"/>
    <x:row r="229" ht="7.150000095367432" customHeight="1"/>
    <x:row r="230" ht="7.150000095367432" customHeight="1"/>
    <x:row r="231" ht="7.150000095367432" customHeight="1"/>
    <x:row r="232" ht="7.150000095367432" customHeight="1"/>
    <x:row r="233" ht="7.150000095367432" customHeight="1"/>
    <x:row r="234" ht="7.150000095367432" customHeight="1"/>
    <x:row r="235" ht="7.150000095367432" customHeight="1"/>
    <x:row r="236" ht="7.150000095367432" customHeight="1"/>
    <x:row r="237" ht="7.150000095367432" customHeight="1"/>
    <x:row r="238" ht="7.150000095367432" customHeight="1"/>
    <x:row r="239" ht="7.150000095367432" customHeight="1"/>
    <x:row r="240" ht="7.150000095367432" customHeight="1"/>
    <x:row r="241" ht="7.150000095367432" customHeight="1"/>
    <x:row r="242" ht="7.150000095367432" customHeight="1"/>
    <x:row r="243" ht="7.150000095367432" customHeight="1"/>
    <x:row r="244" ht="7.150000095367432" customHeight="1"/>
    <x:row r="245" ht="7.150000095367432" customHeight="1"/>
    <x:row r="246" ht="7.150000095367432" customHeight="1"/>
    <x:row r="247" ht="7.150000095367432" customHeight="1"/>
    <x:row r="248" ht="7.150000095367432" customHeight="1"/>
    <x:row r="249" ht="7.150000095367432" customHeight="1"/>
    <x:row r="250" ht="7.150000095367432" customHeight="1"/>
    <x:row r="251" ht="7.150000095367432" customHeight="1"/>
    <x:row r="252" ht="7.150000095367432" customHeight="1"/>
    <x:row r="253" ht="7.150000095367432" customHeight="1"/>
    <x:row r="254" ht="7.150000095367432" customHeight="1"/>
    <x:row r="255" ht="7.150000095367432" customHeight="1"/>
    <x:row r="256" ht="7.150000095367432" customHeight="1"/>
    <x:row r="257" ht="7.150000095367432" customHeight="1"/>
    <x:row r="258" ht="7.150000095367432" customHeight="1"/>
    <x:row r="259" ht="7.150000095367432" customHeight="1"/>
    <x:row r="260" ht="7.150000095367432" customHeight="1"/>
    <x:row r="261" ht="7.150000095367432" customHeight="1"/>
    <x:row r="262" ht="7.150000095367432" customHeight="1"/>
    <x:row r="263" ht="7.150000095367432" customHeight="1"/>
    <x:row r="264" ht="7.150000095367432" customHeight="1"/>
    <x:row r="265" ht="7.150000095367432" customHeight="1"/>
    <x:row r="266" ht="7.150000095367432" customHeight="1"/>
    <x:row r="267" ht="7.150000095367432" customHeight="1"/>
    <x:row r="268" ht="7.150000095367432" customHeight="1"/>
    <x:row r="269" ht="7.150000095367432" customHeight="1"/>
    <x:row r="270" ht="7.150000095367432" customHeight="1"/>
    <x:row r="271" ht="7.150000095367432" customHeight="1"/>
    <x:row r="272" ht="7.150000095367432" customHeight="1"/>
    <x:row r="273" ht="7.150000095367432" customHeight="1"/>
    <x:row r="274" ht="7.150000095367432" customHeight="1"/>
    <x:row r="275" ht="7.150000095367432" customHeight="1"/>
    <x:row r="276" ht="7.150000095367432" customHeight="1"/>
    <x:row r="277" ht="7.150000095367432" customHeight="1"/>
    <x:row r="278" ht="7.150000095367432" customHeight="1"/>
    <x:row r="279" ht="7.150000095367432" customHeight="1"/>
    <x:row r="280" ht="7.150000095367432" customHeight="1"/>
    <x:row r="281" ht="7.150000095367432" customHeight="1"/>
    <x:row r="282" ht="7.150000095367432" customHeight="1"/>
    <x:row r="283" ht="7.150000095367432" customHeight="1"/>
    <x:row r="284" ht="7.150000095367432" customHeight="1"/>
    <x:row r="285" ht="7.150000095367432" customHeight="1"/>
    <x:row r="286" ht="7.150000095367432" customHeight="1"/>
    <x:row r="287" ht="7.150000095367432" customHeight="1"/>
    <x:row r="288" ht="7.150000095367432" customHeight="1"/>
    <x:row r="289" ht="7.150000095367432" customHeight="1"/>
    <x:row r="290" ht="7.150000095367432" customHeight="1"/>
    <x:row r="291" ht="7.150000095367432" customHeight="1"/>
    <x:row r="292" ht="7.150000095367432" customHeight="1"/>
    <x:row r="293" ht="7.150000095367432" customHeight="1"/>
    <x:row r="294" ht="7.150000095367432" customHeight="1"/>
    <x:row r="295" ht="7.150000095367432" customHeight="1"/>
    <x:row r="296" ht="7.150000095367432" customHeight="1"/>
    <x:row r="297" ht="7.150000095367432" customHeight="1"/>
    <x:row r="298" ht="7.150000095367432" customHeight="1"/>
    <x:row r="299" ht="7.150000095367432" customHeight="1"/>
    <x:row r="300" ht="7.150000095367432" customHeight="1"/>
    <x:row r="301" ht="7.150000095367432" customHeight="1"/>
    <x:row r="302" ht="7.150000095367432" customHeight="1"/>
    <x:row r="303" ht="7.150000095367432" customHeight="1"/>
    <x:row r="304" ht="7.150000095367432" customHeight="1"/>
    <x:row r="305" ht="7.150000095367432" customHeight="1"/>
    <x:row r="306" ht="7.150000095367432" customHeight="1"/>
    <x:row r="307" ht="7.150000095367432" customHeight="1"/>
    <x:row r="308" ht="7.150000095367432" customHeight="1"/>
    <x:row r="309" ht="7.150000095367432" customHeight="1"/>
    <x:row r="310" ht="7.150000095367432" customHeight="1"/>
    <x:row r="311" ht="7.150000095367432" customHeight="1"/>
    <x:row r="312" ht="7.150000095367432" customHeight="1"/>
    <x:row r="313" ht="7.150000095367432" customHeight="1"/>
    <x:row r="314" ht="7.150000095367432" customHeight="1"/>
    <x:row r="315" ht="7.150000095367432" customHeight="1"/>
    <x:row r="316" ht="7.150000095367432" customHeight="1"/>
    <x:row r="317" ht="7.150000095367432" customHeight="1"/>
    <x:row r="318" ht="7.150000095367432" customHeight="1"/>
    <x:row r="319" ht="7.150000095367432" customHeight="1"/>
    <x:row r="320" ht="7.150000095367432" customHeight="1"/>
    <x:row r="321" ht="7.150000095367432" customHeight="1"/>
    <x:row r="322" ht="7.150000095367432" customHeight="1"/>
    <x:row r="323" ht="7.150000095367432" customHeight="1"/>
    <x:row r="324" ht="7.150000095367432" customHeight="1"/>
    <x:row r="325" ht="7.150000095367432" customHeight="1"/>
    <x:row r="326" ht="7.150000095367432" customHeight="1"/>
    <x:row r="327" ht="7.150000095367432" customHeight="1"/>
    <x:row r="328" ht="7.150000095367432" customHeight="1"/>
    <x:row r="329" ht="7.150000095367432" customHeight="1"/>
    <x:row r="330" ht="7.150000095367432" customHeight="1"/>
    <x:row r="331" ht="7.150000095367432" customHeight="1"/>
    <x:row r="332" ht="7.150000095367432" customHeight="1"/>
    <x:row r="333" ht="7.150000095367432" customHeight="1"/>
    <x:row r="334" ht="7.150000095367432" customHeight="1"/>
    <x:row r="335" ht="7.150000095367432" customHeight="1"/>
    <x:row r="336" ht="7.150000095367432" customHeight="1"/>
    <x:row r="337" ht="7.150000095367432" customHeight="1"/>
    <x:row r="338" ht="7.150000095367432" customHeight="1"/>
    <x:row r="339" ht="7.150000095367432" customHeight="1"/>
    <x:row r="340" ht="7.150000095367432" customHeight="1"/>
    <x:row r="341" ht="7.150000095367432" customHeight="1"/>
    <x:row r="342" ht="7.150000095367432" customHeight="1"/>
    <x:row r="343" ht="7.150000095367432" customHeight="1"/>
    <x:row r="344" ht="7.150000095367432" customHeight="1"/>
    <x:row r="345" ht="7.150000095367432" customHeight="1"/>
    <x:row r="346" ht="7.150000095367432" customHeight="1"/>
    <x:row r="347" ht="7.150000095367432" customHeight="1"/>
    <x:row r="348" ht="7.150000095367432" customHeight="1"/>
    <x:row r="349" ht="7.150000095367432" customHeight="1"/>
    <x:row r="350" ht="7.150000095367432" customHeight="1"/>
    <x:row r="351" ht="7.150000095367432" customHeight="1"/>
    <x:row r="352" ht="7.150000095367432" customHeight="1"/>
    <x:row r="353" ht="7.150000095367432" customHeight="1"/>
    <x:row r="354" ht="7.150000095367432" customHeight="1"/>
    <x:row r="355" ht="7.150000095367432" customHeight="1"/>
    <x:row r="356" ht="7.150000095367432" customHeight="1"/>
    <x:row r="357" ht="7.150000095367432" customHeight="1"/>
    <x:row r="358" ht="7.150000095367432" customHeight="1"/>
    <x:row r="359" ht="7.150000095367432" customHeight="1"/>
    <x:row r="360" ht="7.150000095367432" customHeight="1"/>
    <x:row r="361" ht="7.150000095367432" customHeight="1"/>
    <x:row r="362" ht="7.150000095367432" customHeight="1"/>
    <x:row r="363" ht="7.150000095367432" customHeight="1"/>
    <x:row r="364" ht="7.150000095367432" customHeight="1"/>
    <x:row r="365" ht="7.150000095367432" customHeight="1"/>
    <x:row r="366" ht="7.150000095367432" customHeight="1"/>
    <x:row r="367" ht="7.150000095367432" customHeight="1"/>
    <x:row r="368" ht="7.150000095367432" customHeight="1"/>
    <x:row r="369" ht="7.150000095367432" customHeight="1"/>
    <x:row r="370" ht="7.150000095367432" customHeight="1"/>
    <x:row r="371" ht="7.150000095367432" customHeight="1"/>
    <x:row r="372" ht="7.150000095367432" customHeight="1"/>
    <x:row r="373" ht="7.150000095367432" customHeight="1"/>
    <x:row r="374" ht="7.150000095367432" customHeight="1"/>
    <x:row r="375" ht="7.150000095367432" customHeight="1"/>
    <x:row r="376" ht="7.150000095367432" customHeight="1"/>
    <x:row r="377" ht="7.150000095367432" customHeight="1"/>
    <x:row r="378" ht="7.150000095367432" customHeight="1"/>
    <x:row r="379" ht="7.150000095367432" customHeight="1"/>
    <x:row r="380" ht="7.150000095367432" customHeight="1"/>
    <x:row r="381" ht="7.150000095367432" customHeight="1"/>
    <x:row r="382" ht="7.150000095367432" customHeight="1"/>
    <x:row r="383" ht="7.150000095367432" customHeight="1"/>
    <x:row r="384" ht="7.150000095367432" customHeight="1"/>
    <x:row r="385" ht="7.150000095367432" customHeight="1"/>
    <x:row r="386" ht="7.150000095367432" customHeight="1"/>
    <x:row r="387" ht="7.150000095367432" customHeight="1"/>
    <x:row r="388" ht="7.150000095367432" customHeight="1"/>
    <x:row r="389" ht="7.150000095367432" customHeight="1"/>
    <x:row r="390" ht="7.150000095367432" customHeight="1"/>
    <x:row r="391" ht="7.150000095367432" customHeight="1"/>
    <x:row r="392" ht="7.150000095367432" customHeight="1"/>
    <x:row r="393" ht="7.150000095367432" customHeight="1"/>
    <x:row r="394" ht="7.150000095367432" customHeight="1"/>
    <x:row r="395" ht="7.150000095367432" customHeight="1"/>
    <x:row r="396" ht="7.150000095367432" customHeight="1"/>
    <x:row r="397" ht="7.150000095367432" customHeight="1"/>
    <x:row r="398" ht="7.150000095367432" customHeight="1"/>
    <x:row r="399" ht="7.150000095367432" customHeight="1"/>
    <x:row r="400" ht="7.150000095367432" customHeight="1"/>
    <x:row r="401" ht="7.150000095367432" customHeight="1"/>
    <x:row r="402" ht="7.150000095367432" customHeight="1"/>
    <x:row r="403" ht="7.150000095367432" customHeight="1"/>
    <x:row r="404" ht="7.150000095367432" customHeight="1"/>
    <x:row r="405" ht="7.150000095367432" customHeight="1"/>
    <x:row r="406" ht="7.150000095367432" customHeight="1"/>
    <x:row r="407" ht="7.150000095367432" customHeight="1"/>
    <x:row r="408" ht="7.150000095367432" customHeight="1"/>
    <x:row r="409" ht="7.150000095367432" customHeight="1"/>
    <x:row r="410" ht="7.150000095367432" customHeight="1"/>
    <x:row r="411" ht="7.150000095367432" customHeight="1"/>
    <x:row r="412" ht="7.150000095367432" customHeight="1"/>
    <x:row r="413" ht="7.150000095367432" customHeight="1"/>
    <x:row r="414" ht="7.150000095367432" customHeight="1"/>
    <x:row r="415" ht="7.150000095367432" customHeight="1"/>
    <x:row r="416" ht="7.150000095367432" customHeight="1"/>
    <x:row r="417" ht="7.150000095367432" customHeight="1"/>
    <x:row r="418" ht="7.150000095367432" customHeight="1"/>
    <x:row r="419" ht="7.150000095367432" customHeight="1"/>
    <x:row r="420" ht="7.150000095367432" customHeight="1"/>
    <x:row r="421" ht="7.150000095367432" customHeight="1"/>
    <x:row r="422" ht="7.150000095367432" customHeight="1"/>
    <x:row r="423" ht="7.150000095367432" customHeight="1"/>
    <x:row r="424" ht="7.150000095367432" customHeight="1"/>
    <x:row r="425" ht="7.150000095367432" customHeight="1"/>
    <x:row r="426" ht="7.150000095367432" customHeight="1"/>
    <x:row r="427" ht="7.150000095367432" customHeight="1"/>
    <x:row r="428" ht="7.150000095367432" customHeight="1"/>
    <x:row r="429" ht="7.150000095367432" customHeight="1"/>
    <x:row r="430" ht="7.150000095367432" customHeight="1"/>
    <x:row r="431" ht="7.150000095367432" customHeight="1"/>
    <x:row r="432" ht="7.150000095367432" customHeight="1"/>
    <x:row r="433" ht="7.150000095367432" customHeight="1"/>
    <x:row r="434" ht="7.150000095367432" customHeight="1"/>
    <x:row r="435" ht="7.150000095367432" customHeight="1"/>
    <x:row r="436" ht="7.150000095367432" customHeight="1"/>
    <x:row r="437" ht="7.150000095367432" customHeight="1"/>
    <x:row r="438" ht="7.150000095367432" customHeight="1"/>
    <x:row r="439" ht="7.150000095367432" customHeight="1"/>
    <x:row r="440" ht="7.150000095367432" customHeight="1"/>
    <x:row r="441" ht="7.150000095367432" customHeight="1"/>
    <x:row r="442" ht="7.150000095367432" customHeight="1"/>
    <x:row r="443" ht="7.150000095367432" customHeight="1"/>
    <x:row r="444" ht="7.150000095367432" customHeight="1"/>
    <x:row r="445" ht="7.150000095367432" customHeight="1"/>
    <x:row r="446" ht="7.150000095367432" customHeight="1"/>
    <x:row r="447" ht="7.150000095367432" customHeight="1"/>
    <x:row r="448" ht="7.150000095367432" customHeight="1"/>
    <x:row r="449" ht="7.150000095367432" customHeight="1"/>
    <x:row r="450" ht="7.150000095367432" customHeight="1"/>
    <x:row r="451" ht="7.150000095367432" customHeight="1"/>
    <x:row r="452" ht="7.150000095367432" customHeight="1"/>
    <x:row r="453" ht="7.150000095367432" customHeight="1"/>
    <x:row r="454" ht="7.150000095367432" customHeight="1"/>
    <x:row r="455" ht="7.150000095367432" customHeight="1"/>
    <x:row r="456" ht="7.150000095367432" customHeight="1"/>
    <x:row r="457" ht="7.150000095367432" customHeight="1"/>
    <x:row r="458" ht="7.150000095367432" customHeight="1"/>
    <x:row r="459" ht="7.150000095367432" customHeight="1"/>
    <x:row r="460" ht="7.150000095367432" customHeight="1"/>
    <x:row r="461" ht="7.150000095367432" customHeight="1"/>
    <x:row r="462" ht="7.150000095367432" customHeight="1"/>
    <x:row r="463" ht="7.150000095367432" customHeight="1"/>
    <x:row r="464" ht="7.150000095367432" customHeight="1"/>
    <x:row r="465" ht="7.150000095367432" customHeight="1"/>
    <x:row r="466" ht="7.150000095367432" customHeight="1"/>
    <x:row r="467" ht="7.150000095367432" customHeight="1"/>
    <x:row r="468" ht="7.150000095367432" customHeight="1"/>
    <x:row r="469" ht="7.150000095367432" customHeight="1"/>
    <x:row r="470" ht="7.150000095367432" customHeight="1"/>
    <x:row r="471" ht="7.150000095367432" customHeight="1"/>
    <x:row r="472" ht="7.150000095367432" customHeight="1"/>
    <x:row r="473" ht="7.150000095367432" customHeight="1"/>
    <x:row r="474" ht="7.150000095367432" customHeight="1"/>
    <x:row r="475" ht="7.150000095367432" customHeight="1"/>
    <x:row r="476" ht="7.150000095367432" customHeight="1"/>
    <x:row r="477" ht="7.150000095367432" customHeight="1"/>
    <x:row r="478" ht="7.150000095367432" customHeight="1"/>
    <x:row r="479" ht="7.150000095367432" customHeight="1"/>
    <x:row r="480" ht="7.150000095367432" customHeight="1"/>
    <x:row r="481" ht="7.150000095367432" customHeight="1"/>
    <x:row r="482" ht="7.150000095367432" customHeight="1"/>
    <x:row r="483" ht="7.150000095367432" customHeight="1"/>
    <x:row r="484" ht="7.150000095367432" customHeight="1"/>
    <x:row r="485" ht="7.150000095367432" customHeight="1"/>
    <x:row r="486" ht="7.150000095367432" customHeight="1"/>
    <x:row r="487" ht="7.150000095367432" customHeight="1"/>
    <x:row r="488" ht="7.150000095367432" customHeight="1"/>
    <x:row r="489" ht="7.150000095367432" customHeight="1"/>
    <x:row r="490" ht="7.150000095367432" customHeight="1"/>
    <x:row r="491" ht="7.150000095367432" customHeight="1"/>
    <x:row r="492" ht="7.150000095367432" customHeight="1"/>
    <x:row r="493" ht="7.150000095367432" customHeight="1"/>
    <x:row r="494" ht="7.150000095367432" customHeight="1"/>
    <x:row r="495" ht="7.150000095367432" customHeight="1"/>
    <x:row r="496" ht="7.150000095367432" customHeight="1"/>
    <x:row r="497" ht="7.150000095367432" customHeight="1"/>
    <x:row r="498" ht="7.150000095367432" customHeight="1"/>
    <x:row r="499" ht="7.150000095367432" customHeight="1"/>
    <x:row r="500" ht="7.150000095367432" customHeight="1"/>
    <x:row r="501" ht="7.150000095367432" customHeight="1"/>
    <x:row r="502" ht="7.150000095367432" customHeight="1"/>
    <x:row r="503" ht="7.150000095367432" customHeight="1"/>
    <x:row r="504" ht="7.150000095367432" customHeight="1"/>
    <x:row r="505" ht="7.150000095367432" customHeight="1"/>
    <x:row r="506" ht="7.150000095367432" customHeight="1"/>
    <x:row r="507" ht="7.150000095367432" customHeight="1"/>
    <x:row r="508" ht="7.150000095367432" customHeight="1"/>
    <x:row r="509" ht="7.150000095367432" customHeight="1"/>
    <x:row r="510" ht="7.150000095367432" customHeight="1"/>
    <x:row r="511" ht="7.150000095367432" customHeight="1"/>
    <x:row r="512" ht="7.150000095367432" customHeight="1"/>
    <x:row r="513" ht="7.150000095367432" customHeight="1"/>
    <x:row r="514" ht="7.150000095367432" customHeight="1"/>
    <x:row r="515" ht="7.150000095367432" customHeight="1"/>
    <x:row r="516" ht="7.150000095367432" customHeight="1"/>
    <x:row r="517" ht="7.150000095367432" customHeight="1"/>
    <x:row r="518" ht="7.150000095367432" customHeight="1"/>
    <x:row r="519" ht="7.150000095367432" customHeight="1"/>
    <x:row r="520" ht="7.150000095367432" customHeight="1"/>
    <x:row r="521" ht="7.150000095367432" customHeight="1"/>
    <x:row r="522" ht="7.150000095367432" customHeight="1"/>
    <x:row r="523" ht="7.150000095367432" customHeight="1"/>
    <x:row r="524" ht="7.150000095367432" customHeight="1"/>
    <x:row r="525" ht="7.150000095367432" customHeight="1"/>
    <x:row r="526" ht="7.150000095367432" customHeight="1"/>
    <x:row r="527" ht="7.150000095367432" customHeight="1"/>
    <x:row r="528" ht="7.150000095367432" customHeight="1"/>
    <x:row r="529" ht="7.150000095367432" customHeight="1"/>
    <x:row r="530" ht="7.150000095367432" customHeight="1"/>
    <x:row r="531" ht="7.150000095367432" customHeight="1"/>
    <x:row r="532" ht="7.150000095367432" customHeight="1"/>
    <x:row r="533" ht="7.150000095367432" customHeight="1"/>
    <x:row r="534" ht="7.150000095367432" customHeight="1"/>
    <x:row r="535" ht="7.150000095367432" customHeight="1"/>
    <x:row r="536" ht="7.150000095367432" customHeight="1"/>
    <x:row r="537" ht="7.150000095367432" customHeight="1"/>
    <x:row r="538" ht="7.150000095367432" customHeight="1"/>
    <x:row r="539" ht="7.150000095367432" customHeight="1"/>
    <x:row r="540" ht="7.150000095367432" customHeight="1"/>
    <x:row r="541" ht="7.150000095367432" customHeight="1"/>
    <x:row r="542" ht="7.150000095367432" customHeight="1"/>
    <x:row r="543" ht="7.150000095367432" customHeight="1"/>
    <x:row r="544" ht="7.150000095367432" customHeight="1"/>
    <x:row r="545" ht="7.150000095367432" customHeight="1"/>
    <x:row r="546" ht="7.150000095367432" customHeight="1"/>
    <x:row r="547" ht="7.150000095367432" customHeight="1"/>
    <x:row r="548" ht="7.150000095367432" customHeight="1"/>
    <x:row r="549" ht="7.150000095367432" customHeight="1"/>
    <x:row r="550" ht="7.150000095367432" customHeight="1"/>
    <x:row r="551" ht="7.150000095367432" customHeight="1"/>
    <x:row r="552" ht="7.150000095367432" customHeight="1"/>
    <x:row r="553" ht="7.150000095367432" customHeight="1"/>
    <x:row r="554" ht="7.150000095367432" customHeight="1"/>
    <x:row r="555" ht="7.150000095367432" customHeight="1"/>
    <x:row r="556" ht="7.150000095367432" customHeight="1"/>
    <x:row r="557" ht="7.150000095367432" customHeight="1"/>
    <x:row r="558" ht="7.150000095367432" customHeight="1"/>
    <x:row r="559" ht="7.150000095367432" customHeight="1"/>
    <x:row r="560" ht="7.150000095367432" customHeight="1"/>
    <x:row r="561" ht="7.150000095367432" customHeight="1"/>
    <x:row r="562" ht="7.150000095367432" customHeight="1"/>
    <x:row r="563" ht="7.150000095367432" customHeight="1"/>
    <x:row r="564" ht="7.150000095367432" customHeight="1"/>
    <x:row r="565" ht="7.150000095367432" customHeight="1"/>
    <x:row r="566" ht="7.150000095367432" customHeight="1"/>
    <x:row r="567" ht="7.150000095367432" customHeight="1"/>
    <x:row r="568" ht="7.150000095367432" customHeight="1"/>
    <x:row r="569" ht="7.150000095367432" customHeight="1"/>
    <x:row r="570" ht="7.150000095367432" customHeight="1"/>
    <x:row r="571" ht="7.150000095367432" customHeight="1"/>
    <x:row r="572" ht="7.150000095367432" customHeight="1"/>
    <x:row r="573" ht="7.150000095367432" customHeight="1"/>
    <x:row r="574" ht="7.150000095367432" customHeight="1"/>
    <x:row r="575" ht="7.150000095367432" customHeight="1"/>
    <x:row r="576" ht="7.150000095367432" customHeight="1"/>
    <x:row r="577" ht="7.150000095367432" customHeight="1"/>
    <x:row r="578" ht="7.150000095367432" customHeight="1"/>
    <x:row r="579" ht="7.150000095367432" customHeight="1"/>
    <x:row r="580" ht="7.150000095367432" customHeight="1"/>
    <x:row r="581" ht="7.150000095367432" customHeight="1"/>
    <x:row r="582" ht="7.150000095367432" customHeight="1"/>
    <x:row r="583" ht="7.150000095367432" customHeight="1"/>
    <x:row r="584" ht="7.150000095367432" customHeight="1"/>
    <x:row r="585" ht="7.150000095367432" customHeight="1"/>
    <x:row r="586" ht="7.150000095367432" customHeight="1"/>
    <x:row r="587" ht="7.150000095367432" customHeight="1"/>
    <x:row r="588" ht="7.150000095367432" customHeight="1"/>
    <x:row r="589" ht="7.150000095367432" customHeight="1"/>
    <x:row r="590" ht="7.150000095367432" customHeight="1"/>
    <x:row r="591" ht="7.150000095367432" customHeight="1"/>
    <x:row r="592" ht="7.150000095367432" customHeight="1"/>
    <x:row r="593" ht="7.150000095367432" customHeight="1"/>
    <x:row r="594" ht="7.150000095367432" customHeight="1"/>
    <x:row r="595" ht="7.150000095367432" customHeight="1"/>
    <x:row r="596" ht="7.150000095367432" customHeight="1"/>
    <x:row r="597" ht="7.150000095367432" customHeight="1"/>
    <x:row r="598" ht="7.150000095367432" customHeight="1"/>
    <x:row r="599" ht="7.150000095367432" customHeight="1"/>
    <x:row r="600" ht="7.150000095367432" customHeight="1"/>
    <x:row r="601" ht="7.150000095367432" customHeight="1"/>
    <x:row r="602" ht="7.150000095367432" customHeight="1"/>
    <x:row r="603" ht="7.150000095367432" customHeight="1"/>
    <x:row r="604" ht="7.150000095367432" customHeight="1"/>
    <x:row r="605" ht="7.150000095367432" customHeight="1"/>
    <x:row r="606" ht="7.150000095367432" customHeight="1"/>
    <x:row r="607" ht="7.150000095367432" customHeight="1"/>
    <x:row r="608" ht="7.150000095367432" customHeight="1"/>
    <x:row r="609" ht="7.150000095367432" customHeight="1"/>
    <x:row r="610" ht="7.150000095367432" customHeight="1"/>
    <x:row r="611" ht="7.150000095367432" customHeight="1"/>
    <x:row r="612" ht="7.150000095367432" customHeight="1"/>
    <x:row r="613" ht="7.150000095367432" customHeight="1"/>
    <x:row r="614" ht="7.150000095367432" customHeight="1"/>
    <x:row r="615" ht="7.150000095367432" customHeight="1"/>
    <x:row r="616" ht="7.150000095367432" customHeight="1"/>
    <x:row r="617" ht="7.150000095367432" customHeight="1"/>
    <x:row r="618" ht="7.150000095367432" customHeight="1"/>
    <x:row r="619" ht="7.150000095367432" customHeight="1"/>
    <x:row r="620" ht="7.150000095367432" customHeight="1"/>
    <x:row r="621" ht="7.150000095367432" customHeight="1"/>
    <x:row r="622" ht="7.150000095367432" customHeight="1"/>
    <x:row r="623" ht="7.150000095367432" customHeight="1"/>
    <x:row r="624" ht="7.150000095367432" customHeight="1"/>
    <x:row r="625" ht="7.150000095367432" customHeight="1"/>
    <x:row r="626" ht="7.150000095367432" customHeight="1"/>
    <x:row r="627" ht="7.150000095367432" customHeight="1"/>
    <x:row r="628" ht="7.150000095367432" customHeight="1"/>
    <x:row r="629" ht="7.150000095367432" customHeight="1"/>
    <x:row r="630" ht="7.150000095367432" customHeight="1"/>
    <x:row r="631" ht="7.150000095367432" customHeight="1"/>
    <x:row r="632" ht="7.150000095367432" customHeight="1"/>
    <x:row r="633" ht="7.150000095367432" customHeight="1"/>
    <x:row r="634" ht="7.150000095367432" customHeight="1"/>
    <x:row r="635" ht="7.150000095367432" customHeight="1"/>
    <x:row r="636" ht="7.150000095367432" customHeight="1"/>
    <x:row r="637" ht="7.150000095367432" customHeight="1"/>
    <x:row r="638" ht="7.150000095367432" customHeight="1"/>
    <x:row r="639" ht="7.150000095367432" customHeight="1"/>
    <x:row r="640" ht="7.150000095367432" customHeight="1"/>
    <x:row r="641" ht="7.150000095367432" customHeight="1"/>
    <x:row r="642" ht="7.150000095367432" customHeight="1"/>
    <x:row r="643" ht="7.150000095367432" customHeight="1"/>
    <x:row r="644" ht="7.150000095367432" customHeight="1"/>
    <x:row r="645" ht="7.150000095367432" customHeight="1"/>
    <x:row r="646" ht="7.150000095367432" customHeight="1"/>
    <x:row r="647" ht="7.150000095367432" customHeight="1"/>
    <x:row r="648" ht="7.150000095367432" customHeight="1"/>
    <x:row r="649" ht="7.150000095367432" customHeight="1"/>
    <x:row r="650" ht="7.150000095367432" customHeight="1"/>
    <x:row r="651" ht="7.150000095367432" customHeight="1"/>
    <x:row r="652" ht="7.150000095367432" customHeight="1"/>
    <x:row r="653" ht="7.150000095367432" customHeight="1"/>
    <x:row r="654" ht="7.150000095367432" customHeight="1"/>
    <x:row r="655" ht="7.150000095367432" customHeight="1"/>
    <x:row r="656" ht="7.150000095367432" customHeight="1"/>
    <x:row r="657" ht="7.150000095367432" customHeight="1"/>
    <x:row r="658" ht="7.150000095367432" customHeight="1"/>
    <x:row r="659" ht="7.150000095367432" customHeight="1"/>
    <x:row r="660" ht="7.150000095367432" customHeight="1"/>
    <x:row r="661" ht="7.150000095367432" customHeight="1"/>
    <x:row r="662" ht="7.150000095367432" customHeight="1"/>
    <x:row r="663" ht="7.150000095367432" customHeight="1"/>
    <x:row r="664" ht="7.150000095367432" customHeight="1"/>
    <x:row r="665" ht="7.150000095367432" customHeight="1"/>
    <x:row r="666" ht="7.150000095367432" customHeight="1"/>
    <x:row r="667" ht="7.150000095367432" customHeight="1"/>
    <x:row r="668" ht="7.150000095367432" customHeight="1"/>
    <x:row r="669" ht="7.150000095367432" customHeight="1"/>
    <x:row r="670" ht="7.150000095367432" customHeight="1"/>
    <x:row r="671" ht="7.150000095367432" customHeight="1"/>
    <x:row r="672" ht="7.150000095367432" customHeight="1"/>
    <x:row r="673" ht="7.150000095367432" customHeight="1"/>
    <x:row r="674" ht="7.150000095367432" customHeight="1"/>
    <x:row r="675" ht="7.150000095367432" customHeight="1"/>
    <x:row r="676" ht="7.150000095367432" customHeight="1"/>
    <x:row r="677" ht="7.150000095367432" customHeight="1"/>
    <x:row r="678" ht="7.150000095367432" customHeight="1"/>
    <x:row r="679" ht="7.150000095367432" customHeight="1"/>
    <x:row r="680" ht="7.150000095367432" customHeight="1"/>
    <x:row r="681" ht="7.150000095367432" customHeight="1"/>
    <x:row r="682" ht="7.150000095367432" customHeight="1"/>
    <x:row r="683" ht="7.150000095367432" customHeight="1"/>
    <x:row r="684" ht="7.150000095367432" customHeight="1"/>
    <x:row r="685" ht="7.150000095367432" customHeight="1"/>
    <x:row r="686" ht="7.150000095367432" customHeight="1"/>
    <x:row r="687" ht="7.150000095367432" customHeight="1"/>
    <x:row r="688" ht="7.150000095367432" customHeight="1"/>
    <x:row r="689" ht="7.150000095367432" customHeight="1"/>
    <x:row r="690" ht="7.150000095367432" customHeight="1"/>
    <x:row r="691" ht="7.150000095367432" customHeight="1"/>
    <x:row r="692" ht="7.150000095367432" customHeight="1"/>
    <x:row r="693" ht="7.150000095367432" customHeight="1"/>
    <x:row r="694" ht="7.150000095367432" customHeight="1"/>
    <x:row r="695" ht="7.150000095367432" customHeight="1"/>
    <x:row r="696" ht="7.150000095367432" customHeight="1"/>
    <x:row r="697" ht="7.150000095367432" customHeight="1"/>
    <x:row r="698" ht="7.150000095367432" customHeight="1"/>
    <x:row r="699" ht="7.150000095367432" customHeight="1"/>
    <x:row r="700" ht="7.150000095367432" customHeight="1"/>
    <x:row r="701" ht="7.150000095367432" customHeight="1"/>
    <x:row r="702" ht="7.150000095367432" customHeight="1"/>
    <x:row r="703" ht="7.150000095367432" customHeight="1"/>
    <x:row r="704" ht="7.150000095367432" customHeight="1"/>
    <x:row r="705" ht="7.150000095367432" customHeight="1"/>
    <x:row r="706" ht="7.150000095367432" customHeight="1"/>
    <x:row r="707" ht="7.150000095367432" customHeight="1"/>
    <x:row r="708" ht="7.150000095367432" customHeight="1"/>
    <x:row r="709" ht="7.150000095367432" customHeight="1"/>
    <x:row r="710" ht="7.150000095367432" customHeight="1"/>
    <x:row r="711" ht="7.150000095367432" customHeight="1"/>
    <x:row r="712" ht="7.150000095367432" customHeight="1"/>
    <x:row r="713" ht="7.150000095367432" customHeight="1"/>
    <x:row r="714" ht="7.150000095367432" customHeight="1"/>
    <x:row r="715" ht="7.150000095367432" customHeight="1"/>
    <x:row r="716" ht="7.150000095367432" customHeight="1"/>
    <x:row r="717" ht="7.150000095367432" customHeight="1"/>
    <x:row r="718" ht="7.150000095367432" customHeight="1"/>
    <x:row r="719" ht="7.150000095367432" customHeight="1"/>
    <x:row r="720" ht="7.150000095367432" customHeight="1"/>
    <x:row r="721" ht="7.150000095367432" customHeight="1"/>
    <x:row r="722" ht="7.150000095367432" customHeight="1"/>
    <x:row r="723" ht="7.150000095367432" customHeight="1"/>
    <x:row r="724" ht="7.150000095367432" customHeight="1"/>
    <x:row r="725" ht="7.150000095367432" customHeight="1"/>
    <x:row r="726" ht="7.150000095367432" customHeight="1"/>
    <x:row r="727" ht="7.150000095367432" customHeight="1"/>
    <x:row r="728" ht="7.150000095367432" customHeight="1"/>
    <x:row r="729" ht="7.150000095367432" customHeight="1"/>
    <x:row r="730" ht="7.150000095367432" customHeight="1"/>
    <x:row r="731" ht="7.150000095367432" customHeight="1"/>
    <x:row r="732" ht="7.150000095367432" customHeight="1"/>
    <x:row r="733" ht="7.150000095367432" customHeight="1"/>
    <x:row r="734" ht="7.150000095367432" customHeight="1"/>
    <x:row r="735" ht="7.150000095367432" customHeight="1"/>
    <x:row r="736" ht="7.150000095367432" customHeight="1"/>
    <x:row r="737" ht="7.150000095367432" customHeight="1"/>
    <x:row r="738" ht="7.150000095367432" customHeight="1"/>
    <x:row r="739" ht="7.150000095367432" customHeight="1"/>
    <x:row r="740" ht="7.150000095367432" customHeight="1"/>
    <x:row r="741" ht="7.150000095367432" customHeight="1"/>
    <x:row r="742" ht="7.150000095367432" customHeight="1"/>
    <x:row r="743" ht="7.150000095367432" customHeight="1"/>
    <x:row r="744" ht="7.150000095367432" customHeight="1"/>
    <x:row r="745" ht="7.150000095367432" customHeight="1"/>
    <x:row r="746" ht="7.150000095367432" customHeight="1"/>
    <x:row r="747" ht="7.150000095367432" customHeight="1"/>
    <x:row r="748" ht="7.150000095367432" customHeight="1"/>
    <x:row r="749" ht="7.150000095367432" customHeight="1"/>
    <x:row r="750" ht="7.150000095367432" customHeight="1"/>
    <x:row r="751" ht="7.150000095367432" customHeight="1"/>
    <x:row r="752" ht="7.150000095367432" customHeight="1"/>
    <x:row r="753" ht="7.150000095367432" customHeight="1"/>
    <x:row r="754" ht="7.150000095367432" customHeight="1"/>
    <x:row r="755" ht="7.150000095367432" customHeight="1"/>
    <x:row r="756" ht="7.150000095367432" customHeight="1"/>
    <x:row r="757" ht="7.150000095367432" customHeight="1"/>
    <x:row r="758" ht="7.150000095367432" customHeight="1"/>
    <x:row r="759" ht="7.150000095367432" customHeight="1"/>
    <x:row r="760" ht="7.150000095367432" customHeight="1"/>
    <x:row r="761" ht="7.150000095367432" customHeight="1"/>
    <x:row r="762" ht="7.150000095367432" customHeight="1"/>
    <x:row r="763" ht="7.150000095367432" customHeight="1"/>
    <x:row r="764" ht="7.150000095367432" customHeight="1"/>
    <x:row r="765" ht="7.150000095367432" customHeight="1"/>
    <x:row r="766" ht="7.150000095367432" customHeight="1"/>
    <x:row r="767" ht="7.150000095367432" customHeight="1"/>
    <x:row r="768" ht="7.150000095367432" customHeight="1"/>
    <x:row r="769" ht="7.150000095367432" customHeight="1"/>
    <x:row r="770" ht="7.150000095367432" customHeight="1"/>
    <x:row r="771" ht="7.150000095367432" customHeight="1"/>
    <x:row r="772" ht="7.150000095367432" customHeight="1"/>
    <x:row r="773" ht="7.150000095367432" customHeight="1"/>
    <x:row r="774" ht="7.150000095367432" customHeight="1"/>
    <x:row r="775" ht="7.150000095367432" customHeight="1"/>
    <x:row r="776" ht="7.150000095367432" customHeight="1"/>
    <x:row r="777" ht="7.150000095367432" customHeight="1"/>
    <x:row r="778" ht="7.150000095367432" customHeight="1"/>
    <x:row r="779" ht="7.150000095367432" customHeight="1"/>
    <x:row r="780" ht="7.150000095367432" customHeight="1"/>
    <x:row r="781" ht="7.150000095367432" customHeight="1"/>
    <x:row r="782" ht="7.150000095367432" customHeight="1"/>
    <x:row r="783" ht="7.150000095367432" customHeight="1"/>
    <x:row r="784" ht="7.150000095367432" customHeight="1"/>
    <x:row r="785" ht="7.150000095367432" customHeight="1"/>
    <x:row r="786" ht="7.150000095367432" customHeight="1"/>
    <x:row r="787" ht="7.150000095367432" customHeight="1"/>
    <x:row r="788" ht="7.150000095367432" customHeight="1"/>
    <x:row r="789" ht="7.150000095367432" customHeight="1"/>
    <x:row r="790" ht="7.150000095367432" customHeight="1"/>
    <x:row r="791" ht="7.150000095367432" customHeight="1"/>
    <x:row r="792" ht="7.150000095367432" customHeight="1"/>
    <x:row r="793" ht="7.150000095367432" customHeight="1"/>
    <x:row r="794" ht="7.150000095367432" customHeight="1"/>
    <x:row r="795" ht="7.150000095367432" customHeight="1"/>
    <x:row r="796" ht="7.150000095367432" customHeight="1"/>
    <x:row r="797" ht="7.150000095367432" customHeight="1"/>
    <x:row r="798" ht="7.150000095367432" customHeight="1"/>
    <x:row r="799" ht="7.150000095367432" customHeight="1"/>
    <x:row r="800" ht="7.150000095367432" customHeight="1"/>
    <x:row r="801" ht="7.150000095367432" customHeight="1"/>
    <x:row r="802" ht="7.150000095367432" customHeight="1"/>
    <x:row r="803" ht="7.150000095367432" customHeight="1"/>
    <x:row r="804" ht="7.150000095367432" customHeight="1"/>
    <x:row r="805" ht="7.150000095367432" customHeight="1"/>
    <x:row r="806" ht="7.150000095367432" customHeight="1"/>
    <x:row r="807" ht="7.150000095367432" customHeight="1"/>
    <x:row r="808" ht="7.150000095367432" customHeight="1"/>
    <x:row r="809" ht="7.150000095367432" customHeight="1"/>
    <x:row r="810" ht="7.150000095367432" customHeight="1"/>
    <x:row r="811" ht="7.150000095367432" customHeight="1"/>
    <x:row r="812" ht="7.150000095367432" customHeight="1"/>
    <x:row r="813" ht="7.150000095367432" customHeight="1"/>
    <x:row r="814" ht="7.150000095367432" customHeight="1"/>
    <x:row r="815" ht="7.150000095367432" customHeight="1"/>
    <x:row r="816" ht="7.150000095367432" customHeight="1"/>
    <x:row r="817" ht="7.150000095367432" customHeight="1"/>
    <x:row r="818" ht="7.150000095367432" customHeight="1"/>
    <x:row r="819" ht="7.150000095367432" customHeight="1"/>
    <x:row r="820" ht="7.150000095367432" customHeight="1"/>
    <x:row r="821" ht="7.150000095367432" customHeight="1"/>
    <x:row r="822" ht="7.150000095367432" customHeight="1"/>
    <x:row r="823" ht="7.150000095367432" customHeight="1"/>
    <x:row r="824" ht="7.150000095367432" customHeight="1"/>
    <x:row r="825" ht="7.150000095367432" customHeight="1"/>
    <x:row r="826" ht="7.150000095367432" customHeight="1"/>
    <x:row r="827" ht="7.150000095367432" customHeight="1"/>
    <x:row r="828" ht="7.150000095367432" customHeight="1"/>
    <x:row r="829" ht="7.150000095367432" customHeight="1"/>
    <x:row r="830" ht="7.150000095367432" customHeight="1"/>
    <x:row r="831" ht="7.150000095367432" customHeight="1"/>
    <x:row r="832" ht="7.150000095367432" customHeight="1"/>
    <x:row r="833" ht="7.150000095367432" customHeight="1"/>
    <x:row r="834" ht="7.150000095367432" customHeight="1"/>
    <x:row r="835" ht="7.150000095367432" customHeight="1"/>
    <x:row r="836" ht="7.150000095367432" customHeight="1"/>
    <x:row r="837" ht="7.150000095367432" customHeight="1"/>
    <x:row r="838" ht="7.150000095367432" customHeight="1"/>
    <x:row r="839" ht="7.150000095367432" customHeight="1"/>
    <x:row r="840" ht="7.150000095367432" customHeight="1"/>
    <x:row r="841" ht="7.150000095367432" customHeight="1"/>
    <x:row r="842" ht="7.150000095367432" customHeight="1"/>
    <x:row r="843" ht="7.150000095367432" customHeight="1"/>
    <x:row r="844" ht="7.150000095367432" customHeight="1"/>
    <x:row r="845" ht="7.150000095367432" customHeight="1"/>
    <x:row r="846" ht="7.150000095367432" customHeight="1"/>
    <x:row r="847" ht="7.150000095367432" customHeight="1"/>
    <x:row r="848" ht="7.150000095367432" customHeight="1"/>
    <x:row r="849" ht="7.150000095367432" customHeight="1"/>
    <x:row r="850" ht="7.150000095367432" customHeight="1"/>
    <x:row r="851" ht="7.150000095367432" customHeight="1"/>
    <x:row r="852" ht="7.150000095367432" customHeight="1"/>
    <x:row r="853" ht="7.150000095367432" customHeight="1"/>
    <x:row r="854" ht="7.150000095367432" customHeight="1"/>
    <x:row r="855" ht="7.150000095367432" customHeight="1"/>
    <x:row r="856" ht="7.150000095367432" customHeight="1"/>
    <x:row r="857" ht="7.150000095367432" customHeight="1"/>
    <x:row r="858" ht="7.150000095367432" customHeight="1"/>
    <x:row r="859" ht="7.150000095367432" customHeight="1"/>
    <x:row r="860" ht="7.150000095367432" customHeight="1"/>
    <x:row r="861" ht="7.150000095367432" customHeight="1"/>
    <x:row r="862" ht="7.150000095367432" customHeight="1"/>
    <x:row r="863" ht="7.150000095367432" customHeight="1"/>
    <x:row r="864" ht="7.150000095367432" customHeight="1"/>
    <x:row r="865" ht="7.150000095367432" customHeight="1"/>
    <x:row r="866" ht="7.150000095367432" customHeight="1"/>
    <x:row r="867" ht="7.150000095367432" customHeight="1"/>
    <x:row r="868" ht="7.150000095367432" customHeight="1"/>
    <x:row r="869" ht="7.150000095367432" customHeight="1"/>
    <x:row r="870" ht="7.150000095367432" customHeight="1"/>
    <x:row r="871" ht="7.150000095367432" customHeight="1"/>
    <x:row r="872" ht="7.150000095367432" customHeight="1"/>
    <x:row r="873" ht="7.150000095367432" customHeight="1"/>
    <x:row r="874" ht="7.150000095367432" customHeight="1"/>
    <x:row r="875" ht="7.150000095367432" customHeight="1"/>
    <x:row r="876" ht="7.150000095367432" customHeight="1"/>
    <x:row r="877" ht="7.150000095367432" customHeight="1"/>
    <x:row r="878" ht="7.150000095367432" customHeight="1"/>
    <x:row r="879" ht="7.150000095367432" customHeight="1"/>
    <x:row r="880" ht="7.150000095367432" customHeight="1"/>
    <x:row r="881" ht="7.150000095367432" customHeight="1"/>
    <x:row r="882" ht="7.150000095367432" customHeight="1"/>
    <x:row r="883" ht="7.150000095367432" customHeight="1"/>
    <x:row r="884" ht="7.150000095367432" customHeight="1"/>
    <x:row r="885" ht="7.150000095367432" customHeight="1"/>
    <x:row r="886" ht="7.150000095367432" customHeight="1"/>
    <x:row r="887" ht="7.150000095367432" customHeight="1"/>
    <x:row r="888" ht="7.150000095367432" customHeight="1"/>
    <x:row r="889" ht="7.150000095367432" customHeight="1"/>
    <x:row r="890" ht="7.150000095367432" customHeight="1"/>
    <x:row r="891" ht="7.150000095367432" customHeight="1"/>
    <x:row r="892" ht="7.150000095367432" customHeight="1"/>
    <x:row r="893" ht="7.150000095367432" customHeight="1"/>
    <x:row r="894" ht="7.150000095367432" customHeight="1"/>
    <x:row r="895" ht="7.150000095367432" customHeight="1"/>
    <x:row r="896" ht="7.150000095367432" customHeight="1"/>
    <x:row r="897" ht="7.150000095367432" customHeight="1"/>
    <x:row r="898" ht="7.150000095367432" customHeight="1"/>
    <x:row r="899" ht="7.150000095367432" customHeight="1"/>
    <x:row r="900" ht="7.150000095367432" customHeight="1"/>
    <x:row r="901" ht="7.150000095367432" customHeight="1"/>
    <x:row r="902" ht="7.150000095367432" customHeight="1"/>
    <x:row r="903" ht="7.150000095367432" customHeight="1"/>
    <x:row r="904" ht="7.150000095367432" customHeight="1"/>
    <x:row r="905" ht="7.150000095367432" customHeight="1"/>
    <x:row r="906" ht="7.150000095367432" customHeight="1"/>
    <x:row r="907" ht="7.150000095367432" customHeight="1"/>
    <x:row r="908" ht="7.150000095367432" customHeight="1"/>
    <x:row r="909" ht="7.150000095367432" customHeight="1"/>
    <x:row r="910" ht="7.150000095367432" customHeight="1"/>
    <x:row r="911" ht="7.150000095367432" customHeight="1"/>
    <x:row r="912" ht="7.150000095367432" customHeight="1"/>
    <x:row r="913" ht="7.150000095367432" customHeight="1"/>
    <x:row r="914" ht="7.150000095367432" customHeight="1"/>
    <x:row r="915" ht="7.150000095367432" customHeight="1"/>
    <x:row r="916" ht="7.150000095367432" customHeight="1"/>
    <x:row r="917" ht="7.150000095367432" customHeight="1"/>
    <x:row r="918" ht="7.150000095367432" customHeight="1"/>
    <x:row r="919" ht="7.150000095367432" customHeight="1"/>
    <x:row r="920" ht="7.150000095367432" customHeight="1"/>
    <x:row r="921" ht="7.150000095367432" customHeight="1"/>
    <x:row r="922" ht="7.150000095367432" customHeight="1"/>
    <x:row r="923" ht="7.150000095367432" customHeight="1"/>
    <x:row r="924" ht="7.150000095367432" customHeight="1"/>
    <x:row r="925" ht="7.150000095367432" customHeight="1"/>
    <x:row r="926" ht="7.150000095367432" customHeight="1"/>
    <x:row r="927" ht="7.150000095367432" customHeight="1"/>
    <x:row r="928" ht="7.150000095367432" customHeight="1"/>
    <x:row r="929" ht="7.150000095367432" customHeight="1"/>
    <x:row r="930" ht="7.150000095367432" customHeight="1"/>
    <x:row r="931" ht="7.150000095367432" customHeight="1"/>
    <x:row r="932" ht="7.150000095367432" customHeight="1"/>
    <x:row r="933" ht="7.150000095367432" customHeight="1"/>
    <x:row r="934" ht="7.150000095367432" customHeight="1"/>
    <x:row r="935" ht="7.150000095367432" customHeight="1"/>
    <x:row r="936" ht="7.150000095367432" customHeight="1"/>
    <x:row r="937" ht="7.150000095367432" customHeight="1"/>
    <x:row r="938" ht="7.150000095367432" customHeight="1"/>
    <x:row r="939" ht="7.150000095367432" customHeight="1"/>
    <x:row r="940" ht="7.150000095367432" customHeight="1"/>
    <x:row r="941" ht="7.150000095367432" customHeight="1"/>
    <x:row r="942" ht="7.150000095367432" customHeight="1"/>
    <x:row r="943" ht="7.150000095367432" customHeight="1"/>
    <x:row r="944" ht="7.150000095367432" customHeight="1"/>
    <x:row r="945" ht="7.150000095367432" customHeight="1"/>
    <x:row r="946" ht="7.150000095367432" customHeight="1"/>
    <x:row r="947" ht="7.150000095367432" customHeight="1"/>
    <x:row r="948" ht="7.150000095367432" customHeight="1"/>
    <x:row r="949" ht="7.150000095367432" customHeight="1"/>
    <x:row r="950" ht="7.150000095367432" customHeight="1"/>
    <x:row r="951" ht="7.150000095367432" customHeight="1"/>
    <x:row r="952" ht="7.150000095367432" customHeight="1"/>
    <x:row r="953" ht="7.150000095367432" customHeight="1"/>
    <x:row r="954" ht="7.150000095367432" customHeight="1"/>
    <x:row r="955" ht="7.150000095367432" customHeight="1"/>
    <x:row r="956" ht="7.150000095367432" customHeight="1"/>
    <x:row r="957" ht="7.150000095367432" customHeight="1"/>
    <x:row r="958" ht="7.150000095367432" customHeight="1"/>
    <x:row r="959" ht="7.150000095367432" customHeight="1"/>
    <x:row r="960" ht="7.150000095367432" customHeight="1"/>
    <x:row r="961" ht="7.150000095367432" customHeight="1"/>
    <x:row r="962" ht="7.150000095367432" customHeight="1"/>
    <x:row r="963" ht="7.150000095367432" customHeight="1"/>
    <x:row r="964" ht="7.150000095367432" customHeight="1"/>
    <x:row r="965" ht="7.150000095367432" customHeight="1"/>
    <x:row r="966" ht="7.150000095367432" customHeight="1"/>
    <x:row r="967" ht="7.150000095367432" customHeight="1"/>
    <x:row r="968" ht="7.150000095367432" customHeight="1"/>
    <x:row r="969" ht="7.150000095367432" customHeight="1"/>
    <x:row r="970" ht="7.150000095367432" customHeight="1"/>
    <x:row r="971" ht="7.150000095367432" customHeight="1"/>
  </x:sheetData>
  <x:mergeCells>
    <x:mergeCell ref="X5:X7"/>
    <x:mergeCell ref="G6:G7"/>
    <x:mergeCell ref="P5:P7"/>
    <x:mergeCell ref="S5:S7"/>
    <x:mergeCell ref="T5:T7"/>
    <x:mergeCell ref="U5:U7"/>
    <x:mergeCell ref="V5:V7"/>
    <x:mergeCell ref="D5:O5"/>
    <x:mergeCell ref="L6:O6"/>
    <x:mergeCell ref="B6:C7"/>
    <x:mergeCell ref="D6:D7"/>
    <x:mergeCell ref="E6:F7"/>
    <x:mergeCell ref="W5:W7"/>
    <x:mergeCell ref="S36:X36"/>
    <x:mergeCell ref="S30:X30"/>
    <x:mergeCell ref="S34:X34"/>
    <x:mergeCell ref="F14:F19"/>
    <x:mergeCell ref="F22:F25"/>
    <x:mergeCell ref="G14:G17"/>
    <x:mergeCell ref="G22:G25"/>
    <x:mergeCell ref="W14:W18"/>
    <x:mergeCell ref="X14:X18"/>
    <x:mergeCell ref="A14:A23"/>
    <x:mergeCell ref="C14:C19"/>
    <x:mergeCell ref="A26:A27"/>
    <x:mergeCell ref="C22:C25"/>
    <x:mergeCell ref="S35:X35"/>
    <x:mergeCell ref="D22:D25"/>
    <x:mergeCell ref="D14:D20"/>
    <x:mergeCell ref="E8:F8"/>
    <x:mergeCell ref="G9:G13"/>
    <x:mergeCell ref="B8:C8"/>
    <x:mergeCell ref="F9:F13"/>
    <x:mergeCell ref="A1:X1"/>
    <x:mergeCell ref="A2:X2"/>
    <x:mergeCell ref="A3:X3"/>
    <x:mergeCell ref="A5:C5"/>
    <x:mergeCell ref="C9:C13"/>
    <x:mergeCell ref="P9:P13"/>
    <x:mergeCell ref="A9:A13"/>
    <x:mergeCell ref="D9:D13"/>
    <x:mergeCell ref="B9:B13"/>
    <x:mergeCell ref="X10:X13"/>
    <x:mergeCell ref="A6:A7"/>
    <x:mergeCell ref="H6:K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34.59765625" customWidth="1"/>
    <x:col min="4" max="4" width="5.53125" style="79" customWidth="1"/>
    <x:col min="5" max="5" width="27.86328125" customWidth="1"/>
    <x:col min="6" max="6" width="4.3984375" style="91" customWidth="1"/>
    <x:col min="7" max="7" width="44.86328125" customWidth="1"/>
    <x:col min="8" max="8" width="71" customWidth="1"/>
    <x:col min="9" max="9" width="22.59765625" customWidth="1"/>
    <x:col min="10" max="10" width="23.3984375" customWidth="1"/>
    <x:col min="11" max="11" width="23.6640625" customWidth="1"/>
    <x:col min="12" max="12" width="20.53125" customWidth="1"/>
    <x:col min="13" max="13" width="38.86328125" customWidth="1"/>
    <x:col min="14" max="14" width="39.86328125" customWidth="1"/>
    <x:col min="15" max="17" width="8.73046875" customWidth="1"/>
    <x:col min="18" max="18" width="12.53125" customWidth="1"/>
    <x:col min="19" max="24" width="14" customWidth="1"/>
  </x:cols>
  <x:sheetData>
    <x:row r="1" ht="6" customHeight="1">
      <x:c r="A1" s="1"/>
      <x:c r="B1" s="734" t="s">
        <x:v>343</x:v>
      </x:c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  <x:c r="O1" s="1"/>
      <x:c r="P1" s="1"/>
      <x:c r="Q1" s="1"/>
      <x:c r="R1" s="1"/>
      <x:c r="S1" s="2"/>
    </x:row>
    <x:row r="2" ht="6" customHeight="1">
      <x:c r="A2" s="1"/>
      <x:c r="B2" s="734" t="s">
        <x:v>344</x:v>
      </x:c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  <x:c r="O2" s="1"/>
      <x:c r="P2" s="1"/>
      <x:c r="Q2" s="1"/>
      <x:c r="R2" s="2"/>
    </x:row>
    <x:row r="3" ht="6" customHeight="1">
      <x:c r="A3" s="1"/>
      <x:c r="B3" s="3"/>
      <x:c r="C3" s="1"/>
      <x:c r="D3" s="3"/>
      <x:c r="E3" s="1"/>
      <x:c r="F3" s="141"/>
      <x:c r="G3" s="1"/>
      <x:c r="H3" s="1"/>
      <x:c r="I3" s="1"/>
      <x:c r="J3" s="1"/>
      <x:c r="K3" s="3"/>
      <x:c r="L3" s="3"/>
      <x:c r="M3" s="1"/>
      <x:c r="N3" s="1"/>
      <x:c r="O3" s="1"/>
      <x:c r="P3" s="1"/>
      <x:c r="Q3" s="1"/>
      <x:c r="R3" s="2"/>
    </x:row>
    <x:row r="4" ht="9.399999618530273" customHeight="1">
      <x:c r="A4" s="1"/>
      <x:c r="B4" s="739" t="s">
        <x:v>47</x:v>
      </x:c>
      <x:c r="C4" s="741" t="s">
        <x:v>184</x:v>
      </x:c>
      <x:c r="D4" s="743" t="s">
        <x:v>194</x:v>
      </x:c>
      <x:c r="E4" s="743"/>
      <x:c r="F4" s="745" t="s">
        <x:v>208</x:v>
      </x:c>
      <x:c r="G4" s="746"/>
      <x:c r="H4" s="753" t="s">
        <x:v>345</x:v>
      </x:c>
      <x:c r="I4" s="755" t="s">
        <x:v>346</x:v>
      </x:c>
      <x:c r="J4" s="739" t="s">
        <x:v>347</x:v>
      </x:c>
      <x:c r="K4" s="147" t="s">
        <x:v>348</x:v>
      </x:c>
      <x:c r="L4" s="749" t="s">
        <x:v>349</x:v>
      </x:c>
      <x:c r="M4" s="751" t="s">
        <x:v>350</x:v>
      </x:c>
      <x:c r="N4" s="751" t="s">
        <x:v>351</x:v>
      </x:c>
      <x:c r="O4" s="1"/>
      <x:c r="P4" s="1"/>
      <x:c r="Q4" s="1"/>
      <x:c r="R4" s="2"/>
    </x:row>
    <x:row r="5" ht="13.149999618530273" customHeight="1">
      <x:c r="A5" s="1"/>
      <x:c r="B5" s="740"/>
      <x:c r="C5" s="742"/>
      <x:c r="D5" s="744"/>
      <x:c r="E5" s="744"/>
      <x:c r="F5" s="747"/>
      <x:c r="G5" s="748"/>
      <x:c r="H5" s="754"/>
      <x:c r="I5" s="756"/>
      <x:c r="J5" s="740"/>
      <x:c r="K5" s="148" t="s">
        <x:v>352</x:v>
      </x:c>
      <x:c r="L5" s="750"/>
      <x:c r="M5" s="752"/>
      <x:c r="N5" s="752"/>
      <x:c r="O5" s="1"/>
      <x:c r="P5" s="1"/>
      <x:c r="Q5" s="1"/>
      <x:c r="R5" s="2"/>
    </x:row>
    <x:row r="6" s="79" customFormat="1" ht="15.75">
      <x:c r="A6" s="10"/>
      <x:c r="B6" s="11">
        <x:v>1</x:v>
      </x:c>
      <x:c r="C6" s="12">
        <x:v>2</x:v>
      </x:c>
      <x:c r="D6" s="736">
        <x:v>3</x:v>
      </x:c>
      <x:c r="E6" s="736"/>
      <x:c r="F6" s="737">
        <x:v>4</x:v>
      </x:c>
      <x:c r="G6" s="738"/>
      <x:c r="H6" s="196">
        <x:v>5</x:v>
      </x:c>
      <x:c r="I6" s="196">
        <x:v>6</x:v>
      </x:c>
      <x:c r="J6" s="11">
        <x:v>7</x:v>
      </x:c>
      <x:c r="K6" s="11">
        <x:v>8</x:v>
      </x:c>
      <x:c r="L6" s="11">
        <x:v>9</x:v>
      </x:c>
      <x:c r="M6" s="13">
        <x:v>10</x:v>
      </x:c>
      <x:c r="N6" s="13">
        <x:v>11</x:v>
      </x:c>
      <x:c r="O6" s="3"/>
      <x:c r="P6" s="3"/>
      <x:c r="Q6" s="3"/>
      <x:c r="R6" s="77"/>
    </x:row>
    <x:row r="7" ht="15.600000381469727" customHeight="1">
      <x:c r="A7" s="1"/>
      <x:c r="B7" s="24">
        <x:v>1</x:v>
      </x:c>
      <x:c r="C7" s="195" t="s">
        <x:v>353</x:v>
      </x:c>
      <x:c r="D7" s="140">
        <x:v>1</x:v>
      </x:c>
      <x:c r="E7" s="139" t="s">
        <x:v>112</x:v>
      </x:c>
      <x:c r="F7" s="142">
        <x:v>1</x:v>
      </x:c>
      <x:c r="G7" s="21" t="s">
        <x:v>209</x:v>
      </x:c>
      <x:c r="H7" s="72"/>
      <x:c r="I7" s="406" t="s">
        <x:v>354</x:v>
      </x:c>
      <x:c r="J7" s="22" t="s">
        <x:v>355</x:v>
      </x:c>
      <x:c r="K7" s="23"/>
      <x:c r="L7" s="23"/>
      <x:c r="M7" s="26"/>
      <x:c r="N7" s="26"/>
      <x:c r="O7" s="1"/>
      <x:c r="P7" s="1"/>
      <x:c r="Q7" s="1"/>
      <x:c r="R7" s="2"/>
    </x:row>
    <x:row r="8" ht="31.5">
      <x:c r="A8" s="1"/>
      <x:c r="B8" s="27"/>
      <x:c r="C8" s="28"/>
      <x:c r="D8" s="136"/>
      <x:c r="E8" s="181"/>
      <x:c r="F8" s="136"/>
      <x:c r="H8" s="29" t="s">
        <x:v>356</x:v>
      </x:c>
      <x:c r="I8" s="29" t="s">
        <x:v>354</x:v>
      </x:c>
      <x:c r="J8" s="30" t="s">
        <x:v>357</x:v>
      </x:c>
      <x:c r="K8" s="31" t="s">
        <x:v>358</x:v>
      </x:c>
      <x:c r="L8" s="31">
        <x:v>1</x:v>
      </x:c>
      <x:c r="M8" s="15" t="s">
        <x:v>359</x:v>
      </x:c>
      <x:c r="N8" s="17" t="s">
        <x:v>360</x:v>
      </x:c>
      <x:c r="O8" s="1"/>
      <x:c r="P8" s="1"/>
      <x:c r="Q8" s="1"/>
      <x:c r="R8" s="2"/>
    </x:row>
    <x:row r="9" ht="9" customHeight="1">
      <x:c r="A9" s="1"/>
      <x:c r="B9" s="5"/>
      <x:c r="C9" s="33"/>
      <x:c r="D9" s="36"/>
      <x:c r="E9" s="182"/>
      <x:c r="F9" s="36"/>
      <x:c r="G9" s="34"/>
      <x:c r="H9" s="34"/>
      <x:c r="I9" s="34"/>
      <x:c r="J9" s="35"/>
      <x:c r="K9" s="36"/>
      <x:c r="L9" s="36"/>
      <x:c r="M9" s="15"/>
      <x:c r="N9" s="17"/>
      <x:c r="O9" s="1"/>
      <x:c r="P9" s="1"/>
      <x:c r="Q9" s="1"/>
      <x:c r="R9" s="2"/>
    </x:row>
    <x:row r="10" ht="7.900000095367432" customHeight="1">
      <x:c r="A10" s="1"/>
      <x:c r="B10" s="5"/>
      <x:c r="C10" s="38"/>
      <x:c r="D10" s="41"/>
      <x:c r="E10" s="183"/>
      <x:c r="F10" s="41"/>
      <x:c r="G10" s="39"/>
      <x:c r="H10" s="39"/>
      <x:c r="I10" s="39"/>
      <x:c r="J10" s="40"/>
      <x:c r="K10" s="41"/>
      <x:c r="L10" s="41"/>
      <x:c r="M10" s="18"/>
      <x:c r="N10" s="15"/>
      <x:c r="O10" s="1"/>
      <x:c r="P10" s="1"/>
      <x:c r="Q10" s="1"/>
      <x:c r="R10" s="2"/>
    </x:row>
    <x:row r="11" ht="14.649999618530273" customHeight="1">
      <x:c r="A11" s="1"/>
      <x:c r="B11" s="19"/>
      <x:c r="C11" s="20"/>
      <x:c r="D11" s="23"/>
      <x:c r="E11" s="184"/>
      <x:c r="F11" s="24">
        <x:v>2</x:v>
      </x:c>
      <x:c r="G11" s="21" t="s">
        <x:v>127</x:v>
      </x:c>
      <x:c r="H11" s="72"/>
      <x:c r="I11" s="406" t="s">
        <x:v>354</x:v>
      </x:c>
      <x:c r="J11" s="42" t="s">
        <x:v>361</x:v>
      </x:c>
      <x:c r="K11" s="23"/>
      <x:c r="L11" s="23"/>
      <x:c r="M11" s="26"/>
      <x:c r="N11" s="26"/>
      <x:c r="O11" s="1"/>
      <x:c r="P11" s="1"/>
      <x:c r="Q11" s="1"/>
      <x:c r="R11" s="2"/>
    </x:row>
    <x:row r="12" ht="15.75">
      <x:c r="A12" s="1"/>
      <x:c r="B12" s="27"/>
      <x:c r="C12" s="28"/>
      <x:c r="D12" s="136"/>
      <x:c r="E12" s="185"/>
      <x:c r="F12" s="136"/>
      <x:c r="H12" s="43" t="s">
        <x:v>362</x:v>
      </x:c>
      <x:c r="I12" s="43" t="s">
        <x:v>354</x:v>
      </x:c>
      <x:c r="J12" s="30" t="s">
        <x:v>357</x:v>
      </x:c>
      <x:c r="K12" s="31" t="s">
        <x:v>358</x:v>
      </x:c>
      <x:c r="L12" s="31">
        <x:v>1</x:v>
      </x:c>
      <x:c r="M12" s="44" t="s">
        <x:v>359</x:v>
      </x:c>
      <x:c r="N12" s="15" t="s">
        <x:v>360</x:v>
      </x:c>
      <x:c r="O12" s="1"/>
      <x:c r="P12" s="1"/>
      <x:c r="Q12" s="1"/>
      <x:c r="R12" s="2"/>
    </x:row>
    <x:row r="13" ht="15.75">
      <x:c r="A13" s="1"/>
      <x:c r="B13" s="14"/>
      <x:c r="C13" s="45"/>
      <x:c r="D13" s="58"/>
      <x:c r="E13" s="181"/>
      <x:c r="F13" s="58"/>
      <x:c r="H13" s="46" t="s">
        <x:v>363</x:v>
      </x:c>
      <x:c r="I13" s="46" t="s">
        <x:v>354</x:v>
      </x:c>
      <x:c r="J13" s="47" t="s">
        <x:v>357</x:v>
      </x:c>
      <x:c r="K13" s="48" t="s">
        <x:v>358</x:v>
      </x:c>
      <x:c r="L13" s="48">
        <x:v>1</x:v>
      </x:c>
      <x:c r="M13" s="15" t="s">
        <x:v>359</x:v>
      </x:c>
      <x:c r="N13" s="15" t="s">
        <x:v>360</x:v>
      </x:c>
      <x:c r="O13" s="1"/>
      <x:c r="P13" s="1"/>
      <x:c r="Q13" s="1"/>
      <x:c r="R13" s="2"/>
    </x:row>
    <x:row r="14" ht="15.75">
      <x:c r="A14" s="1"/>
      <x:c r="B14" s="14"/>
      <x:c r="C14" s="45"/>
      <x:c r="D14" s="58"/>
      <x:c r="E14" s="181"/>
      <x:c r="F14" s="58"/>
      <x:c r="H14" s="46" t="s">
        <x:v>364</x:v>
      </x:c>
      <x:c r="I14" s="46" t="s">
        <x:v>354</x:v>
      </x:c>
      <x:c r="J14" s="47" t="s">
        <x:v>357</x:v>
      </x:c>
      <x:c r="K14" s="48" t="s">
        <x:v>358</x:v>
      </x:c>
      <x:c r="L14" s="48">
        <x:v>1</x:v>
      </x:c>
      <x:c r="M14" s="15" t="s">
        <x:v>359</x:v>
      </x:c>
      <x:c r="N14" s="15" t="s">
        <x:v>360</x:v>
      </x:c>
      <x:c r="O14" s="1"/>
      <x:c r="P14" s="1"/>
      <x:c r="Q14" s="1"/>
      <x:c r="R14" s="2"/>
    </x:row>
    <x:row r="15" ht="31.5">
      <x:c r="A15" s="1"/>
      <x:c r="B15" s="14"/>
      <x:c r="C15" s="45"/>
      <x:c r="D15" s="58"/>
      <x:c r="E15" s="181"/>
      <x:c r="F15" s="58"/>
      <x:c r="H15" s="46" t="s">
        <x:v>365</x:v>
      </x:c>
      <x:c r="I15" s="46" t="s">
        <x:v>354</x:v>
      </x:c>
      <x:c r="J15" s="47" t="s">
        <x:v>357</x:v>
      </x:c>
      <x:c r="K15" s="48" t="s">
        <x:v>358</x:v>
      </x:c>
      <x:c r="L15" s="48">
        <x:v>1</x:v>
      </x:c>
      <x:c r="M15" s="15" t="s">
        <x:v>359</x:v>
      </x:c>
      <x:c r="N15" s="15" t="s">
        <x:v>360</x:v>
      </x:c>
      <x:c r="O15" s="1"/>
      <x:c r="P15" s="1"/>
      <x:c r="Q15" s="1"/>
      <x:c r="R15" s="2"/>
    </x:row>
    <x:row r="16" ht="15.75">
      <x:c r="A16" s="1"/>
      <x:c r="B16" s="5"/>
      <x:c r="C16" s="33"/>
      <x:c r="D16" s="36"/>
      <x:c r="E16" s="182"/>
      <x:c r="F16" s="36"/>
      <x:c r="G16" s="49"/>
      <x:c r="H16" s="49"/>
      <x:c r="I16" s="49"/>
      <x:c r="J16" s="35"/>
      <x:c r="K16" s="50"/>
      <x:c r="L16" s="50"/>
      <x:c r="M16" s="15"/>
      <x:c r="N16" s="15"/>
      <x:c r="O16" s="1"/>
      <x:c r="P16" s="1"/>
      <x:c r="Q16" s="1"/>
      <x:c r="R16" s="2"/>
    </x:row>
    <x:row r="17" ht="14.649999618530273" customHeight="1">
      <x:c r="A17" s="1"/>
      <x:c r="B17" s="19"/>
      <x:c r="C17" s="20"/>
      <x:c r="D17" s="23"/>
      <x:c r="E17" s="184"/>
      <x:c r="F17" s="24">
        <x:v>3</x:v>
      </x:c>
      <x:c r="G17" s="21" t="s">
        <x:v>114</x:v>
      </x:c>
      <x:c r="H17" s="72"/>
      <x:c r="I17" s="406" t="s">
        <x:v>354</x:v>
      </x:c>
      <x:c r="J17" s="42" t="s">
        <x:v>361</x:v>
      </x:c>
      <x:c r="K17" s="23"/>
      <x:c r="L17" s="23"/>
      <x:c r="M17" s="26"/>
      <x:c r="N17" s="26"/>
      <x:c r="O17" s="1"/>
      <x:c r="P17" s="1"/>
      <x:c r="Q17" s="1"/>
      <x:c r="R17" s="2"/>
    </x:row>
    <x:row r="18" ht="7.349999904632568" customHeight="1">
      <x:c r="A18" s="1"/>
      <x:c r="B18" s="27"/>
      <x:c r="C18" s="28"/>
      <x:c r="D18" s="136"/>
      <x:c r="E18" s="185"/>
      <x:c r="F18" s="136"/>
      <x:c r="H18" s="43" t="s">
        <x:v>366</x:v>
      </x:c>
      <x:c r="I18" s="43" t="s">
        <x:v>354</x:v>
      </x:c>
      <x:c r="J18" s="30" t="s">
        <x:v>357</x:v>
      </x:c>
      <x:c r="K18" s="31" t="s">
        <x:v>358</x:v>
      </x:c>
      <x:c r="L18" s="31">
        <x:v>1</x:v>
      </x:c>
      <x:c r="M18" s="51" t="s">
        <x:v>359</x:v>
      </x:c>
      <x:c r="N18" s="15" t="s">
        <x:v>360</x:v>
      </x:c>
      <x:c r="O18" s="1"/>
      <x:c r="P18" s="1"/>
      <x:c r="Q18" s="1"/>
      <x:c r="R18" s="2"/>
    </x:row>
    <x:row r="19" ht="7.900000095367432" customHeight="1">
      <x:c r="A19" s="1"/>
      <x:c r="B19" s="14"/>
      <x:c r="C19" s="45"/>
      <x:c r="D19" s="58"/>
      <x:c r="E19" s="181"/>
      <x:c r="F19" s="58"/>
      <x:c r="G19" s="46"/>
      <x:c r="H19" s="149" t="s">
        <x:v>367</x:v>
      </x:c>
      <x:c r="I19" s="46" t="s">
        <x:v>354</x:v>
      </x:c>
      <x:c r="J19" s="47" t="s">
        <x:v>357</x:v>
      </x:c>
      <x:c r="K19" s="48" t="s">
        <x:v>358</x:v>
      </x:c>
      <x:c r="L19" s="48">
        <x:v>1</x:v>
      </x:c>
      <x:c r="M19" s="15" t="s">
        <x:v>359</x:v>
      </x:c>
      <x:c r="N19" s="15" t="s">
        <x:v>360</x:v>
      </x:c>
      <x:c r="O19" s="1"/>
      <x:c r="P19" s="1"/>
      <x:c r="Q19" s="1"/>
      <x:c r="R19" s="2"/>
    </x:row>
    <x:row r="20" ht="7.900000095367432" customHeight="1">
      <x:c r="A20" s="52"/>
      <x:c r="B20" s="5"/>
      <x:c r="C20" s="53"/>
      <x:c r="D20" s="50"/>
      <x:c r="E20" s="186"/>
      <x:c r="F20" s="36"/>
      <x:c r="G20" s="34"/>
      <x:c r="H20" s="149" t="s">
        <x:v>368</x:v>
      </x:c>
      <x:c r="I20" s="34" t="s">
        <x:v>354</x:v>
      </x:c>
      <x:c r="J20" s="35" t="s">
        <x:v>357</x:v>
      </x:c>
      <x:c r="K20" s="50" t="s">
        <x:v>358</x:v>
      </x:c>
      <x:c r="L20" s="50">
        <x:v>1</x:v>
      </x:c>
      <x:c r="M20" s="54" t="s">
        <x:v>359</x:v>
      </x:c>
      <x:c r="N20" s="15" t="s">
        <x:v>360</x:v>
      </x:c>
      <x:c r="O20" s="52"/>
      <x:c r="P20" s="52"/>
      <x:c r="Q20" s="52"/>
      <x:c r="R20" s="2"/>
    </x:row>
    <x:row r="21" ht="7.900000095367432" customHeight="1">
      <x:c r="A21" s="52"/>
      <x:c r="B21" s="150"/>
      <x:c r="C21" s="151"/>
      <x:c r="D21" s="152"/>
      <x:c r="E21" s="187"/>
      <x:c r="F21" s="137"/>
      <x:c r="G21" s="153"/>
      <x:c r="H21" s="149" t="s">
        <x:v>369</x:v>
      </x:c>
      <x:c r="I21" s="153" t="s">
        <x:v>354</x:v>
      </x:c>
      <x:c r="J21" s="154" t="s">
        <x:v>357</x:v>
      </x:c>
      <x:c r="K21" s="152" t="s">
        <x:v>358</x:v>
      </x:c>
      <x:c r="L21" s="152">
        <x:v>1</x:v>
      </x:c>
      <x:c r="M21" s="155" t="s">
        <x:v>359</x:v>
      </x:c>
      <x:c r="N21" s="156" t="s">
        <x:v>360</x:v>
      </x:c>
      <x:c r="O21" s="52"/>
      <x:c r="P21" s="52"/>
      <x:c r="Q21" s="52"/>
      <x:c r="R21" s="2"/>
    </x:row>
    <x:row r="22" ht="8.649999618530273" customHeight="1">
      <x:c r="A22" s="52"/>
      <x:c r="B22" s="19"/>
      <x:c r="C22" s="20"/>
      <x:c r="D22" s="23"/>
      <x:c r="E22" s="184"/>
      <x:c r="F22" s="24">
        <x:v>4</x:v>
      </x:c>
      <x:c r="G22" s="21" t="s">
        <x:v>213</x:v>
      </x:c>
      <x:c r="H22" s="72"/>
      <x:c r="I22" s="406" t="s">
        <x:v>354</x:v>
      </x:c>
      <x:c r="J22" s="22" t="s">
        <x:v>355</x:v>
      </x:c>
      <x:c r="K22" s="23"/>
      <x:c r="L22" s="23"/>
      <x:c r="M22" s="26"/>
      <x:c r="N22" s="26"/>
      <x:c r="O22" s="52"/>
      <x:c r="P22" s="52"/>
      <x:c r="Q22" s="52"/>
      <x:c r="R22" s="2"/>
    </x:row>
    <x:row r="23" ht="7.900000095367432" customHeight="1">
      <x:c r="A23" s="52"/>
      <x:c r="B23" s="27"/>
      <x:c r="C23" s="28"/>
      <x:c r="D23" s="136"/>
      <x:c r="E23" s="185"/>
      <x:c r="F23" s="135"/>
      <x:c r="H23" s="134" t="s">
        <x:v>370</x:v>
      </x:c>
      <x:c r="I23" s="43" t="s">
        <x:v>354</x:v>
      </x:c>
      <x:c r="J23" s="30" t="s">
        <x:v>357</x:v>
      </x:c>
      <x:c r="K23" s="31" t="s">
        <x:v>358</x:v>
      </x:c>
      <x:c r="L23" s="31">
        <x:v>1</x:v>
      </x:c>
      <x:c r="M23" s="56" t="s">
        <x:v>359</x:v>
      </x:c>
      <x:c r="N23" s="15" t="s">
        <x:v>360</x:v>
      </x:c>
      <x:c r="O23" s="52"/>
      <x:c r="P23" s="52"/>
      <x:c r="Q23" s="52"/>
      <x:c r="R23" s="2"/>
    </x:row>
    <x:row r="24" ht="7.900000095367432" customHeight="1">
      <x:c r="A24" s="52"/>
      <x:c r="B24" s="14"/>
      <x:c r="C24" s="45"/>
      <x:c r="D24" s="58"/>
      <x:c r="E24" s="181"/>
      <x:c r="F24" s="59"/>
      <x:c r="H24" s="157" t="s">
        <x:v>371</x:v>
      </x:c>
      <x:c r="I24" s="46" t="s">
        <x:v>354</x:v>
      </x:c>
      <x:c r="J24" s="47" t="s">
        <x:v>357</x:v>
      </x:c>
      <x:c r="K24" s="48" t="s">
        <x:v>358</x:v>
      </x:c>
      <x:c r="L24" s="48">
        <x:v>1</x:v>
      </x:c>
      <x:c r="M24" s="56" t="s">
        <x:v>359</x:v>
      </x:c>
      <x:c r="N24" s="15" t="s">
        <x:v>360</x:v>
      </x:c>
      <x:c r="O24" s="52"/>
      <x:c r="P24" s="52"/>
      <x:c r="Q24" s="52"/>
      <x:c r="R24" s="2"/>
    </x:row>
    <x:row r="25" ht="7.900000095367432" customHeight="1">
      <x:c r="A25" s="52"/>
      <x:c r="B25" s="14"/>
      <x:c r="C25" s="45"/>
      <x:c r="D25" s="58"/>
      <x:c r="E25" s="181"/>
      <x:c r="F25" s="59"/>
      <x:c r="H25" s="57" t="s">
        <x:v>372</x:v>
      </x:c>
      <x:c r="I25" s="46" t="s">
        <x:v>354</x:v>
      </x:c>
      <x:c r="J25" s="47" t="s">
        <x:v>357</x:v>
      </x:c>
      <x:c r="K25" s="58" t="s">
        <x:v>358</x:v>
      </x:c>
      <x:c r="L25" s="58">
        <x:v>1</x:v>
      </x:c>
      <x:c r="M25" s="56" t="s">
        <x:v>359</x:v>
      </x:c>
      <x:c r="N25" s="15" t="s">
        <x:v>360</x:v>
      </x:c>
      <x:c r="O25" s="52"/>
      <x:c r="P25" s="52"/>
      <x:c r="Q25" s="52"/>
      <x:c r="R25" s="2"/>
    </x:row>
    <x:row r="26" ht="7.900000095367432" customHeight="1">
      <x:c r="A26" s="52"/>
      <x:c r="B26" s="14"/>
      <x:c r="C26" s="45"/>
      <x:c r="D26" s="58"/>
      <x:c r="E26" s="181"/>
      <x:c r="F26" s="59"/>
      <x:c r="H26" s="157" t="s">
        <x:v>373</x:v>
      </x:c>
      <x:c r="I26" s="46" t="s">
        <x:v>354</x:v>
      </x:c>
      <x:c r="J26" s="47" t="s">
        <x:v>357</x:v>
      </x:c>
      <x:c r="K26" s="58" t="s">
        <x:v>358</x:v>
      </x:c>
      <x:c r="L26" s="58">
        <x:v>1</x:v>
      </x:c>
      <x:c r="M26" s="56" t="s">
        <x:v>359</x:v>
      </x:c>
      <x:c r="N26" s="15" t="s">
        <x:v>360</x:v>
      </x:c>
      <x:c r="O26" s="52"/>
      <x:c r="P26" s="52"/>
      <x:c r="Q26" s="52"/>
      <x:c r="R26" s="2"/>
    </x:row>
    <x:row r="27" ht="7.900000095367432" customHeight="1">
      <x:c r="A27" s="52"/>
      <x:c r="B27" s="14"/>
      <x:c r="C27" s="45"/>
      <x:c r="D27" s="58"/>
      <x:c r="E27" s="181"/>
      <x:c r="F27" s="59"/>
      <x:c r="H27" s="157" t="s">
        <x:v>374</x:v>
      </x:c>
      <x:c r="I27" s="46" t="s">
        <x:v>354</x:v>
      </x:c>
      <x:c r="J27" s="47" t="s">
        <x:v>357</x:v>
      </x:c>
      <x:c r="K27" s="58" t="s">
        <x:v>358</x:v>
      </x:c>
      <x:c r="L27" s="58">
        <x:v>1</x:v>
      </x:c>
      <x:c r="M27" s="56" t="s">
        <x:v>359</x:v>
      </x:c>
      <x:c r="N27" s="15" t="s">
        <x:v>360</x:v>
      </x:c>
      <x:c r="O27" s="52"/>
      <x:c r="P27" s="52"/>
      <x:c r="Q27" s="52"/>
      <x:c r="R27" s="2"/>
    </x:row>
    <x:row r="28" ht="7.900000095367432" customHeight="1">
      <x:c r="A28" s="52"/>
      <x:c r="B28" s="14"/>
      <x:c r="C28" s="45"/>
      <x:c r="D28" s="58"/>
      <x:c r="E28" s="181"/>
      <x:c r="F28" s="59"/>
      <x:c r="H28" s="157" t="s">
        <x:v>375</x:v>
      </x:c>
      <x:c r="I28" s="46" t="s">
        <x:v>354</x:v>
      </x:c>
      <x:c r="J28" s="47" t="s">
        <x:v>357</x:v>
      </x:c>
      <x:c r="K28" s="58" t="s">
        <x:v>358</x:v>
      </x:c>
      <x:c r="L28" s="58">
        <x:v>1</x:v>
      </x:c>
      <x:c r="M28" s="56" t="s">
        <x:v>359</x:v>
      </x:c>
      <x:c r="N28" s="15" t="s">
        <x:v>360</x:v>
      </x:c>
      <x:c r="O28" s="52"/>
      <x:c r="P28" s="52"/>
      <x:c r="Q28" s="52"/>
      <x:c r="R28" s="2"/>
    </x:row>
    <x:row r="29" ht="7.900000095367432" customHeight="1">
      <x:c r="A29" s="163"/>
      <x:c r="B29" s="5"/>
      <x:c r="C29" s="33"/>
      <x:c r="D29" s="36"/>
      <x:c r="E29" s="182"/>
      <x:c r="F29" s="37"/>
      <x:c r="G29" s="164"/>
      <x:c r="H29" s="165" t="s">
        <x:v>376</x:v>
      </x:c>
      <x:c r="I29" s="49" t="s">
        <x:v>354</x:v>
      </x:c>
      <x:c r="J29" s="35" t="s">
        <x:v>357</x:v>
      </x:c>
      <x:c r="K29" s="36" t="s">
        <x:v>358</x:v>
      </x:c>
      <x:c r="L29" s="36">
        <x:v>1</x:v>
      </x:c>
      <x:c r="M29" s="54" t="s">
        <x:v>359</x:v>
      </x:c>
      <x:c r="N29" s="18" t="s">
        <x:v>360</x:v>
      </x:c>
      <x:c r="O29" s="52"/>
      <x:c r="P29" s="52"/>
      <x:c r="Q29" s="52"/>
      <x:c r="R29" s="2"/>
    </x:row>
    <x:row r="30" ht="7.900000095367432" customHeight="1">
      <x:c r="A30" s="163"/>
      <x:c r="B30" s="150"/>
      <x:c r="C30" s="127"/>
      <x:c r="D30" s="137"/>
      <x:c r="E30" s="188"/>
      <x:c r="F30" s="137"/>
      <x:c r="G30" s="164"/>
      <x:c r="H30" s="165"/>
      <x:c r="I30" s="174"/>
      <x:c r="J30" s="154"/>
      <x:c r="K30" s="137"/>
      <x:c r="L30" s="137"/>
      <x:c r="M30" s="155"/>
      <x:c r="N30" s="156"/>
      <x:c r="O30" s="52"/>
      <x:c r="P30" s="52"/>
      <x:c r="Q30" s="52"/>
      <x:c r="R30" s="2"/>
    </x:row>
    <x:row r="31" ht="7.900000095367432" customHeight="1">
      <x:c r="A31" s="166"/>
      <x:c r="B31" s="19"/>
      <x:c r="C31" s="167"/>
      <x:c r="D31" s="168"/>
      <x:c r="E31" s="189"/>
      <x:c r="F31" s="170">
        <x:v>5</x:v>
      </x:c>
      <x:c r="G31" s="171" t="s">
        <x:v>129</x:v>
      </x:c>
      <x:c r="H31" s="157" t="s">
        <x:v>377</x:v>
      </x:c>
      <x:c r="I31" s="169" t="s">
        <x:v>378</x:v>
      </x:c>
      <x:c r="J31" s="172" t="s">
        <x:v>357</x:v>
      </x:c>
      <x:c r="K31" s="168" t="s">
        <x:v>358</x:v>
      </x:c>
      <x:c r="L31" s="168">
        <x:v>1</x:v>
      </x:c>
      <x:c r="M31" s="173" t="s">
        <x:v>359</x:v>
      </x:c>
      <x:c r="N31" s="173" t="s">
        <x:v>360</x:v>
      </x:c>
      <x:c r="O31" s="1"/>
      <x:c r="P31" s="18" t="s">
        <x:v>379</x:v>
      </x:c>
      <x:c r="Q31" s="1"/>
      <x:c r="R31" s="2"/>
    </x:row>
    <x:row r="32" ht="7.900000095367432" customHeight="1">
      <x:c r="A32" s="1"/>
      <x:c r="B32" s="150"/>
      <x:c r="C32" s="151"/>
      <x:c r="D32" s="152"/>
      <x:c r="E32" s="187"/>
      <x:c r="F32" s="137"/>
      <x:c r="G32" s="144"/>
      <x:c r="H32" s="157" t="s">
        <x:v>380</x:v>
      </x:c>
      <x:c r="I32" s="153" t="s">
        <x:v>378</x:v>
      </x:c>
      <x:c r="J32" s="154" t="s">
        <x:v>357</x:v>
      </x:c>
      <x:c r="K32" s="152" t="s">
        <x:v>358</x:v>
      </x:c>
      <x:c r="L32" s="152">
        <x:v>1</x:v>
      </x:c>
      <x:c r="M32" s="156" t="s">
        <x:v>359</x:v>
      </x:c>
      <x:c r="N32" s="156" t="s">
        <x:v>360</x:v>
      </x:c>
      <x:c r="O32" s="1"/>
      <x:c r="P32" s="162"/>
      <x:c r="Q32" s="1"/>
      <x:c r="R32" s="2"/>
    </x:row>
    <x:row r="33" ht="7.900000095367432" customHeight="1">
      <x:c r="A33" s="1"/>
      <x:c r="B33" s="150"/>
      <x:c r="C33" s="151"/>
      <x:c r="D33" s="152"/>
      <x:c r="E33" s="187"/>
      <x:c r="F33" s="137"/>
      <x:c r="G33" s="144"/>
      <x:c r="H33" s="157" t="s">
        <x:v>381</x:v>
      </x:c>
      <x:c r="I33" s="153" t="s">
        <x:v>378</x:v>
      </x:c>
      <x:c r="J33" s="154" t="s">
        <x:v>357</x:v>
      </x:c>
      <x:c r="K33" s="152" t="s">
        <x:v>358</x:v>
      </x:c>
      <x:c r="L33" s="152">
        <x:v>1</x:v>
      </x:c>
      <x:c r="M33" s="156" t="s">
        <x:v>359</x:v>
      </x:c>
      <x:c r="N33" s="156" t="s">
        <x:v>360</x:v>
      </x:c>
      <x:c r="O33" s="1"/>
      <x:c r="P33" s="162"/>
      <x:c r="Q33" s="1"/>
      <x:c r="R33" s="2"/>
    </x:row>
    <x:row r="34" ht="7.900000095367432" customHeight="1">
      <x:c r="A34" s="1"/>
      <x:c r="B34" s="150"/>
      <x:c r="C34" s="151"/>
      <x:c r="D34" s="152"/>
      <x:c r="E34" s="187"/>
      <x:c r="F34" s="137"/>
      <x:c r="G34" s="144"/>
      <x:c r="H34" s="153"/>
      <x:c r="I34" s="153"/>
      <x:c r="J34" s="154"/>
      <x:c r="K34" s="152"/>
      <x:c r="L34" s="152"/>
      <x:c r="M34" s="156"/>
      <x:c r="N34" s="156"/>
      <x:c r="O34" s="1"/>
      <x:c r="P34" s="162"/>
      <x:c r="Q34" s="1"/>
      <x:c r="R34" s="2"/>
    </x:row>
    <x:row r="35" ht="10.5" customHeight="1">
      <x:c r="A35" s="1"/>
      <x:c r="B35" s="19"/>
      <x:c r="C35" s="20"/>
      <x:c r="D35" s="23"/>
      <x:c r="E35" s="184"/>
      <x:c r="F35" s="24">
        <x:v>6</x:v>
      </x:c>
      <x:c r="G35" s="21" t="s">
        <x:v>119</x:v>
      </x:c>
      <x:c r="H35" s="157" t="s">
        <x:v>382</x:v>
      </x:c>
      <x:c r="I35" s="72" t="s">
        <x:v>378</x:v>
      </x:c>
      <x:c r="J35" s="22" t="s">
        <x:v>383</x:v>
      </x:c>
      <x:c r="K35" s="23" t="s">
        <x:v>358</x:v>
      </x:c>
      <x:c r="L35" s="23">
        <x:v>1</x:v>
      </x:c>
      <x:c r="M35" s="26" t="s">
        <x:v>359</x:v>
      </x:c>
      <x:c r="N35" s="26" t="s">
        <x:v>360</x:v>
      </x:c>
      <x:c r="O35" s="1"/>
      <x:c r="P35" s="1"/>
      <x:c r="Q35" s="1"/>
      <x:c r="R35" s="2"/>
    </x:row>
    <x:row r="36" ht="7.900000095367432" customHeight="1">
      <x:c r="A36" s="1"/>
      <x:c r="B36" s="27"/>
      <x:c r="C36" s="28"/>
      <x:c r="D36" s="136"/>
      <x:c r="E36" s="185"/>
      <x:c r="F36" s="136"/>
      <x:c r="G36" s="43"/>
      <x:c r="H36" s="157" t="s">
        <x:v>384</x:v>
      </x:c>
      <x:c r="I36" s="43" t="s">
        <x:v>378</x:v>
      </x:c>
      <x:c r="J36" s="30" t="s">
        <x:v>357</x:v>
      </x:c>
      <x:c r="K36" s="31" t="s">
        <x:v>358</x:v>
      </x:c>
      <x:c r="L36" s="31">
        <x:v>1</x:v>
      </x:c>
      <x:c r="M36" s="15" t="s">
        <x:v>359</x:v>
      </x:c>
      <x:c r="N36" s="15" t="s">
        <x:v>360</x:v>
      </x:c>
      <x:c r="O36" s="1"/>
      <x:c r="P36" s="1"/>
      <x:c r="Q36" s="1"/>
      <x:c r="R36" s="2"/>
    </x:row>
    <x:row r="37" ht="7.900000095367432" customHeight="1">
      <x:c r="A37" s="1"/>
      <x:c r="B37" s="14"/>
      <x:c r="C37" s="45"/>
      <x:c r="D37" s="58"/>
      <x:c r="E37" s="181"/>
      <x:c r="F37" s="58"/>
      <x:c r="G37" s="46"/>
      <x:c r="H37" s="157"/>
      <x:c r="I37" s="46"/>
      <x:c r="J37" s="47" t="s">
        <x:v>192</x:v>
      </x:c>
      <x:c r="K37" s="48"/>
      <x:c r="L37" s="48"/>
      <x:c r="M37" s="15"/>
      <x:c r="N37" s="15"/>
      <x:c r="O37" s="1"/>
      <x:c r="P37" s="1"/>
      <x:c r="Q37" s="1"/>
      <x:c r="R37" s="2"/>
    </x:row>
    <x:row r="38" ht="7.900000095367432" customHeight="1">
      <x:c r="A38" s="1"/>
      <x:c r="B38" s="14"/>
      <x:c r="C38" s="62"/>
      <x:c r="D38" s="48"/>
      <x:c r="E38" s="190"/>
      <x:c r="F38" s="58"/>
      <x:c r="G38" s="61"/>
      <x:c r="H38" s="61"/>
      <x:c r="I38" s="61"/>
      <x:c r="J38" s="47"/>
      <x:c r="K38" s="48"/>
      <x:c r="L38" s="48"/>
      <x:c r="M38" s="15"/>
      <x:c r="N38" s="15"/>
      <x:c r="O38" s="1"/>
      <x:c r="P38" s="1"/>
      <x:c r="Q38" s="1"/>
      <x:c r="R38" s="2"/>
    </x:row>
    <x:row r="39" ht="7.900000095367432" customHeight="1">
      <x:c r="A39" s="1"/>
      <x:c r="B39" s="14"/>
      <x:c r="C39" s="62"/>
      <x:c r="D39" s="48"/>
      <x:c r="E39" s="190"/>
      <x:c r="F39" s="59"/>
      <x:c r="G39" s="63"/>
      <x:c r="H39" s="126"/>
      <x:c r="I39" s="126"/>
      <x:c r="J39" s="47"/>
      <x:c r="K39" s="48"/>
      <x:c r="L39" s="48"/>
      <x:c r="M39" s="15"/>
      <x:c r="N39" s="15"/>
      <x:c r="O39" s="1"/>
      <x:c r="P39" s="1"/>
      <x:c r="Q39" s="1"/>
      <x:c r="R39" s="2"/>
    </x:row>
    <x:row r="40" ht="7.900000095367432" customHeight="1">
      <x:c r="A40" s="1"/>
      <x:c r="B40" s="5"/>
      <x:c r="C40" s="53"/>
      <x:c r="D40" s="50"/>
      <x:c r="E40" s="186"/>
      <x:c r="F40" s="36"/>
      <x:c r="G40" s="34"/>
      <x:c r="H40" s="34"/>
      <x:c r="I40" s="34"/>
      <x:c r="J40" s="35"/>
      <x:c r="K40" s="50"/>
      <x:c r="L40" s="50"/>
      <x:c r="M40" s="18"/>
      <x:c r="N40" s="15"/>
      <x:c r="O40" s="1"/>
      <x:c r="P40" s="1"/>
      <x:c r="Q40" s="1"/>
      <x:c r="R40" s="2"/>
    </x:row>
    <x:row r="41" ht="16.5" customHeight="1">
      <x:c r="A41" s="1"/>
      <x:c r="B41" s="19"/>
      <x:c r="C41" s="20"/>
      <x:c r="D41" s="23"/>
      <x:c r="E41" s="184"/>
      <x:c r="F41" s="24">
        <x:v>7</x:v>
      </x:c>
      <x:c r="G41" s="21" t="s">
        <x:v>122</x:v>
      </x:c>
      <x:c r="H41" s="157" t="s">
        <x:v>385</x:v>
      </x:c>
      <x:c r="I41" s="72" t="s">
        <x:v>378</x:v>
      </x:c>
      <x:c r="J41" s="22" t="s">
        <x:v>383</x:v>
      </x:c>
      <x:c r="K41" s="23" t="s">
        <x:v>358</x:v>
      </x:c>
      <x:c r="L41" s="23">
        <x:v>1</x:v>
      </x:c>
      <x:c r="M41" s="26" t="s">
        <x:v>359</x:v>
      </x:c>
      <x:c r="N41" s="26" t="s">
        <x:v>360</x:v>
      </x:c>
      <x:c r="O41" s="1"/>
      <x:c r="P41" s="1"/>
      <x:c r="Q41" s="1"/>
      <x:c r="R41" s="2"/>
    </x:row>
    <x:row r="42" ht="7.900000095367432" customHeight="1">
      <x:c r="A42" s="1"/>
      <x:c r="B42" s="27"/>
      <x:c r="C42" s="64"/>
      <x:c r="D42" s="136"/>
      <x:c r="E42" s="185"/>
      <x:c r="F42" s="136"/>
      <x:c r="G42" s="55"/>
      <x:c r="H42" s="157" t="s">
        <x:v>386</x:v>
      </x:c>
      <x:c r="I42" s="55" t="s">
        <x:v>378</x:v>
      </x:c>
      <x:c r="J42" s="65" t="s">
        <x:v>357</x:v>
      </x:c>
      <x:c r="K42" s="32" t="s">
        <x:v>358</x:v>
      </x:c>
      <x:c r="L42" s="32">
        <x:v>1</x:v>
      </x:c>
      <x:c r="M42" s="15" t="s">
        <x:v>359</x:v>
      </x:c>
      <x:c r="N42" s="15" t="s">
        <x:v>360</x:v>
      </x:c>
      <x:c r="O42" s="1"/>
      <x:c r="P42" s="1"/>
      <x:c r="Q42" s="1"/>
      <x:c r="R42" s="2"/>
    </x:row>
    <x:row r="43" ht="7.900000095367432" customHeight="1">
      <x:c r="A43" s="1"/>
      <x:c r="B43" s="14"/>
      <x:c r="C43" s="66"/>
      <x:c r="D43" s="58"/>
      <x:c r="E43" s="181"/>
      <x:c r="F43" s="58"/>
      <x:c r="G43" s="57"/>
      <x:c r="H43" s="157"/>
      <x:c r="I43" s="57"/>
      <x:c r="J43" s="67"/>
      <x:c r="K43" s="13"/>
      <x:c r="L43" s="13"/>
      <x:c r="M43" s="15"/>
      <x:c r="N43" s="15"/>
      <x:c r="O43" s="1"/>
      <x:c r="P43" s="1"/>
      <x:c r="Q43" s="1"/>
      <x:c r="R43" s="2"/>
    </x:row>
    <x:row r="44" ht="7.900000095367432" customHeight="1">
      <x:c r="A44" s="1"/>
      <x:c r="B44" s="14"/>
      <x:c r="C44" s="66"/>
      <x:c r="D44" s="58"/>
      <x:c r="E44" s="181"/>
      <x:c r="F44" s="58"/>
      <x:c r="G44" s="57"/>
      <x:c r="H44" s="57"/>
      <x:c r="I44" s="57"/>
      <x:c r="J44" s="67"/>
      <x:c r="K44" s="13"/>
      <x:c r="L44" s="13"/>
      <x:c r="M44" s="15"/>
      <x:c r="N44" s="15"/>
      <x:c r="O44" s="1"/>
      <x:c r="P44" s="1"/>
      <x:c r="Q44" s="1"/>
      <x:c r="R44" s="2"/>
    </x:row>
    <x:row r="45" ht="14.25" customHeight="1">
      <x:c r="A45" s="1"/>
      <x:c r="B45" s="27"/>
      <x:c r="C45" s="28"/>
      <x:c r="D45" s="158">
        <x:v>2</x:v>
      </x:c>
      <x:c r="E45" s="191" t="s">
        <x:v>387</x:v>
      </x:c>
      <x:c r="F45" s="136">
        <x:v>1</x:v>
      </x:c>
      <x:c r="G45" s="159" t="s">
        <x:v>135</x:v>
      </x:c>
      <x:c r="H45" s="157" t="s">
        <x:v>388</x:v>
      </x:c>
      <x:c r="I45" s="68" t="s">
        <x:v>389</x:v>
      </x:c>
      <x:c r="J45" s="30" t="s">
        <x:v>357</x:v>
      </x:c>
      <x:c r="K45" s="31" t="s">
        <x:v>358</x:v>
      </x:c>
      <x:c r="L45" s="31">
        <x:v>1</x:v>
      </x:c>
      <x:c r="M45" s="15" t="s">
        <x:v>359</x:v>
      </x:c>
      <x:c r="N45" s="15" t="s">
        <x:v>360</x:v>
      </x:c>
      <x:c r="O45" s="1"/>
      <x:c r="P45" s="1"/>
      <x:c r="Q45" s="1"/>
      <x:c r="R45" s="2"/>
    </x:row>
    <x:row r="46" ht="7.900000095367432" customHeight="1">
      <x:c r="A46" s="1"/>
      <x:c r="B46" s="27"/>
      <x:c r="C46" s="28"/>
      <x:c r="D46" s="136"/>
      <x:c r="E46" s="185"/>
      <x:c r="F46" s="136"/>
      <x:c r="G46" s="68"/>
      <x:c r="H46" s="157" t="s">
        <x:v>390</x:v>
      </x:c>
      <x:c r="I46" s="68" t="s">
        <x:v>389</x:v>
      </x:c>
      <x:c r="J46" s="30" t="s">
        <x:v>357</x:v>
      </x:c>
      <x:c r="K46" s="31" t="s">
        <x:v>358</x:v>
      </x:c>
      <x:c r="L46" s="31">
        <x:v>1</x:v>
      </x:c>
      <x:c r="M46" s="15" t="s">
        <x:v>359</x:v>
      </x:c>
      <x:c r="N46" s="15" t="s">
        <x:v>360</x:v>
      </x:c>
      <x:c r="O46" s="1"/>
      <x:c r="P46" s="1"/>
      <x:c r="Q46" s="1"/>
      <x:c r="R46" s="2"/>
    </x:row>
    <x:row r="47" ht="7.900000095367432" customHeight="1">
      <x:c r="A47" s="1"/>
      <x:c r="B47" s="27"/>
      <x:c r="C47" s="28"/>
      <x:c r="D47" s="136"/>
      <x:c r="E47" s="185"/>
      <x:c r="F47" s="136"/>
      <x:c r="G47" s="68"/>
      <x:c r="H47" s="161"/>
      <x:c r="I47" s="68"/>
      <x:c r="J47" s="30"/>
      <x:c r="K47" s="31"/>
      <x:c r="L47" s="31"/>
      <x:c r="M47" s="15"/>
      <x:c r="N47" s="15"/>
      <x:c r="O47" s="1"/>
      <x:c r="P47" s="1"/>
      <x:c r="Q47" s="1"/>
      <x:c r="R47" s="2"/>
    </x:row>
    <x:row r="48" ht="7.900000095367432" customHeight="1">
      <x:c r="A48" s="1"/>
      <x:c r="B48" s="14"/>
      <x:c r="C48" s="45"/>
      <x:c r="D48" s="58"/>
      <x:c r="E48" s="181"/>
      <x:c r="F48" s="58">
        <x:v>2</x:v>
      </x:c>
      <x:c r="G48" s="160" t="s">
        <x:v>391</x:v>
      </x:c>
      <x:c r="H48" s="157" t="s">
        <x:v>392</x:v>
      </x:c>
      <x:c r="I48" s="69" t="s">
        <x:v>389</x:v>
      </x:c>
      <x:c r="J48" s="47" t="s">
        <x:v>357</x:v>
      </x:c>
      <x:c r="K48" s="48" t="s">
        <x:v>358</x:v>
      </x:c>
      <x:c r="L48" s="48">
        <x:v>1</x:v>
      </x:c>
      <x:c r="M48" s="15" t="s">
        <x:v>359</x:v>
      </x:c>
      <x:c r="N48" s="15" t="s">
        <x:v>360</x:v>
      </x:c>
      <x:c r="O48" s="1"/>
      <x:c r="P48" s="1"/>
      <x:c r="Q48" s="1"/>
      <x:c r="R48" s="2"/>
    </x:row>
    <x:row r="49" ht="7.900000095367432" customHeight="1">
      <x:c r="A49" s="1"/>
      <x:c r="B49" s="14"/>
      <x:c r="C49" s="45"/>
      <x:c r="D49" s="58"/>
      <x:c r="E49" s="181"/>
      <x:c r="F49" s="58"/>
      <x:c r="G49" s="160"/>
      <x:c r="H49" s="157" t="s">
        <x:v>393</x:v>
      </x:c>
      <x:c r="I49" s="69" t="s">
        <x:v>389</x:v>
      </x:c>
      <x:c r="J49" s="47" t="s">
        <x:v>357</x:v>
      </x:c>
      <x:c r="K49" s="48" t="s">
        <x:v>358</x:v>
      </x:c>
      <x:c r="L49" s="48">
        <x:v>1</x:v>
      </x:c>
      <x:c r="M49" s="15" t="s">
        <x:v>359</x:v>
      </x:c>
      <x:c r="N49" s="15" t="s">
        <x:v>360</x:v>
      </x:c>
      <x:c r="O49" s="1"/>
      <x:c r="P49" s="1"/>
      <x:c r="Q49" s="1"/>
      <x:c r="R49" s="2"/>
    </x:row>
    <x:row r="50" ht="7.900000095367432" customHeight="1">
      <x:c r="A50" s="1"/>
      <x:c r="B50" s="14"/>
      <x:c r="C50" s="45"/>
      <x:c r="D50" s="58"/>
      <x:c r="E50" s="181"/>
      <x:c r="F50" s="58"/>
      <x:c r="G50" s="160"/>
      <x:c r="H50" s="157" t="s">
        <x:v>394</x:v>
      </x:c>
      <x:c r="I50" s="69" t="s">
        <x:v>389</x:v>
      </x:c>
      <x:c r="J50" s="47" t="s">
        <x:v>357</x:v>
      </x:c>
      <x:c r="K50" s="48" t="s">
        <x:v>358</x:v>
      </x:c>
      <x:c r="L50" s="48">
        <x:v>1</x:v>
      </x:c>
      <x:c r="M50" s="15" t="s">
        <x:v>359</x:v>
      </x:c>
      <x:c r="N50" s="15" t="s">
        <x:v>360</x:v>
      </x:c>
      <x:c r="O50" s="1"/>
      <x:c r="P50" s="1"/>
      <x:c r="Q50" s="1"/>
      <x:c r="R50" s="2"/>
    </x:row>
    <x:row r="51" ht="7.900000095367432" customHeight="1">
      <x:c r="A51" s="1"/>
      <x:c r="B51" s="5"/>
      <x:c r="C51" s="33"/>
      <x:c r="D51" s="36"/>
      <x:c r="E51" s="182"/>
      <x:c r="F51" s="36"/>
      <x:c r="G51" s="175"/>
      <x:c r="H51" s="175"/>
      <x:c r="I51" s="175"/>
      <x:c r="J51" s="35"/>
      <x:c r="K51" s="50"/>
      <x:c r="L51" s="50"/>
      <x:c r="M51" s="18"/>
      <x:c r="N51" s="18"/>
      <x:c r="O51" s="1"/>
      <x:c r="P51" s="1"/>
      <x:c r="Q51" s="1"/>
      <x:c r="R51" s="2"/>
    </x:row>
    <x:row r="52" ht="18" customHeight="1">
      <x:c r="A52" s="1"/>
      <x:c r="B52" s="24">
        <x:v>2</x:v>
      </x:c>
      <x:c r="C52" s="176" t="s">
        <x:v>187</x:v>
      </x:c>
      <x:c r="D52" s="23">
        <x:v>1</x:v>
      </x:c>
      <x:c r="E52" s="192" t="s">
        <x:v>199</x:v>
      </x:c>
      <x:c r="F52" s="24">
        <x:v>1</x:v>
      </x:c>
      <x:c r="G52" s="21" t="s">
        <x:v>216</x:v>
      </x:c>
      <x:c r="H52" s="177" t="s">
        <x:v>395</x:v>
      </x:c>
      <x:c r="I52" s="178" t="s">
        <x:v>389</x:v>
      </x:c>
      <x:c r="J52" s="179" t="s">
        <x:v>357</x:v>
      </x:c>
      <x:c r="K52" s="180" t="s">
        <x:v>358</x:v>
      </x:c>
      <x:c r="L52" s="180">
        <x:v>1</x:v>
      </x:c>
      <x:c r="M52" s="173" t="s">
        <x:v>359</x:v>
      </x:c>
      <x:c r="N52" s="173" t="s">
        <x:v>360</x:v>
      </x:c>
      <x:c r="O52" s="1"/>
      <x:c r="P52" s="1"/>
      <x:c r="Q52" s="1"/>
      <x:c r="R52" s="2"/>
    </x:row>
    <x:row r="53" ht="7.900000095367432" customHeight="1">
      <x:c r="A53" s="1"/>
      <x:c r="B53" s="27"/>
      <x:c r="C53" s="60"/>
      <x:c r="D53" s="31"/>
      <x:c r="E53" s="193"/>
      <x:c r="F53" s="136"/>
      <x:c r="G53" s="29"/>
      <x:c r="H53" s="29" t="s">
        <x:v>396</x:v>
      </x:c>
      <x:c r="I53" s="29" t="s">
        <x:v>389</x:v>
      </x:c>
      <x:c r="J53" s="30" t="s">
        <x:v>357</x:v>
      </x:c>
      <x:c r="K53" s="31" t="s">
        <x:v>358</x:v>
      </x:c>
      <x:c r="L53" s="31">
        <x:v>1</x:v>
      </x:c>
      <x:c r="M53" s="44" t="s">
        <x:v>359</x:v>
      </x:c>
      <x:c r="N53" s="44" t="s">
        <x:v>360</x:v>
      </x:c>
      <x:c r="O53" s="1"/>
      <x:c r="P53" s="1"/>
      <x:c r="Q53" s="1"/>
      <x:c r="R53" s="2"/>
    </x:row>
    <x:row r="54" ht="7.900000095367432" customHeight="1">
      <x:c r="A54" s="1"/>
      <x:c r="B54" s="14"/>
      <x:c r="C54" s="62"/>
      <x:c r="D54" s="48"/>
      <x:c r="E54" s="190"/>
      <x:c r="F54" s="58"/>
      <x:c r="G54" s="69"/>
      <x:c r="H54" s="69" t="s">
        <x:v>397</x:v>
      </x:c>
      <x:c r="I54" s="69" t="s">
        <x:v>389</x:v>
      </x:c>
      <x:c r="J54" s="47" t="s">
        <x:v>357</x:v>
      </x:c>
      <x:c r="K54" s="48" t="s">
        <x:v>358</x:v>
      </x:c>
      <x:c r="L54" s="48">
        <x:v>1</x:v>
      </x:c>
      <x:c r="M54" s="15" t="s">
        <x:v>359</x:v>
      </x:c>
      <x:c r="N54" s="15" t="s">
        <x:v>360</x:v>
      </x:c>
      <x:c r="O54" s="1"/>
      <x:c r="P54" s="1"/>
      <x:c r="Q54" s="1"/>
      <x:c r="R54" s="2"/>
    </x:row>
    <x:row r="55" ht="7.900000095367432" customHeight="1">
      <x:c r="A55" s="1"/>
      <x:c r="B55" s="14"/>
      <x:c r="C55" s="62"/>
      <x:c r="D55" s="48"/>
      <x:c r="E55" s="190"/>
      <x:c r="F55" s="58"/>
      <x:c r="G55" s="69"/>
      <x:c r="H55" s="46" t="s">
        <x:v>398</x:v>
      </x:c>
      <x:c r="I55" s="69" t="s">
        <x:v>389</x:v>
      </x:c>
      <x:c r="J55" s="47" t="s">
        <x:v>357</x:v>
      </x:c>
      <x:c r="K55" s="48" t="s">
        <x:v>358</x:v>
      </x:c>
      <x:c r="L55" s="48">
        <x:v>1</x:v>
      </x:c>
      <x:c r="M55" s="15" t="s">
        <x:v>359</x:v>
      </x:c>
      <x:c r="N55" s="15" t="s">
        <x:v>360</x:v>
      </x:c>
      <x:c r="O55" s="1"/>
      <x:c r="P55" s="1"/>
      <x:c r="Q55" s="1"/>
      <x:c r="R55" s="2"/>
    </x:row>
    <x:row r="56" ht="10.149999618530273" customHeight="1">
      <x:c r="A56" s="1"/>
      <x:c r="B56" s="5"/>
      <x:c r="C56" s="38"/>
      <x:c r="D56" s="41"/>
      <x:c r="E56" s="183"/>
      <x:c r="F56" s="41"/>
      <x:c r="G56" s="39"/>
      <x:c r="H56" s="39"/>
      <x:c r="I56" s="39"/>
      <x:c r="J56" s="71"/>
      <x:c r="K56" s="50"/>
      <x:c r="L56" s="50"/>
      <x:c r="M56" s="18"/>
      <x:c r="N56" s="15"/>
      <x:c r="O56" s="1"/>
      <x:c r="P56" s="1"/>
      <x:c r="Q56" s="1"/>
      <x:c r="R56" s="2"/>
    </x:row>
    <x:row r="57" ht="19.5" customHeight="1">
      <x:c r="A57" s="1"/>
      <x:c r="B57" s="19"/>
      <x:c r="C57" s="20"/>
      <x:c r="D57" s="23"/>
      <x:c r="E57" s="184"/>
      <x:c r="F57" s="23">
        <x:v>2</x:v>
      </x:c>
      <x:c r="G57" s="72" t="s">
        <x:v>217</x:v>
      </x:c>
      <x:c r="H57" s="57" t="s">
        <x:v>399</x:v>
      </x:c>
      <x:c r="I57" s="72" t="s">
        <x:v>389</x:v>
      </x:c>
      <x:c r="J57" s="22" t="s">
        <x:v>383</x:v>
      </x:c>
      <x:c r="K57" s="23" t="s">
        <x:v>358</x:v>
      </x:c>
      <x:c r="L57" s="23">
        <x:v>1</x:v>
      </x:c>
      <x:c r="M57" s="25" t="s">
        <x:v>359</x:v>
      </x:c>
      <x:c r="N57" s="25" t="s">
        <x:v>360</x:v>
      </x:c>
      <x:c r="O57" s="1"/>
      <x:c r="P57" s="1"/>
      <x:c r="Q57" s="1"/>
      <x:c r="R57" s="2"/>
    </x:row>
    <x:row r="58" ht="10.899999618530273" customHeight="1">
      <x:c r="A58" s="1"/>
      <x:c r="B58" s="14"/>
      <x:c r="C58" s="62"/>
      <x:c r="D58" s="48"/>
      <x:c r="E58" s="190"/>
      <x:c r="F58" s="59"/>
      <x:c r="H58" s="157" t="s">
        <x:v>400</x:v>
      </x:c>
      <x:c r="I58" s="46" t="s">
        <x:v>389</x:v>
      </x:c>
      <x:c r="J58" s="47" t="s">
        <x:v>357</x:v>
      </x:c>
      <x:c r="K58" s="48" t="s">
        <x:v>358</x:v>
      </x:c>
      <x:c r="L58" s="48">
        <x:v>1</x:v>
      </x:c>
      <x:c r="M58" s="15" t="s">
        <x:v>359</x:v>
      </x:c>
      <x:c r="N58" s="15" t="s">
        <x:v>360</x:v>
      </x:c>
      <x:c r="O58" s="1"/>
      <x:c r="P58" s="1"/>
      <x:c r="Q58" s="1"/>
      <x:c r="R58" s="2"/>
    </x:row>
    <x:row r="59" ht="10.899999618530273" customHeight="1">
      <x:c r="A59" s="1"/>
      <x:c r="B59" s="5"/>
      <x:c r="C59" s="53"/>
      <x:c r="D59" s="50"/>
      <x:c r="E59" s="186"/>
      <x:c r="F59" s="37"/>
      <x:c r="G59" s="73"/>
      <x:c r="H59" s="49"/>
      <x:c r="I59" s="49"/>
      <x:c r="J59" s="35"/>
      <x:c r="K59" s="50"/>
      <x:c r="L59" s="50"/>
      <x:c r="M59" s="18"/>
      <x:c r="N59" s="15"/>
      <x:c r="O59" s="1"/>
      <x:c r="P59" s="1"/>
      <x:c r="Q59" s="1"/>
      <x:c r="R59" s="2"/>
    </x:row>
    <x:row r="60" ht="15.399999618530273" customHeight="1">
      <x:c r="A60" s="1"/>
      <x:c r="B60" s="19"/>
      <x:c r="C60" s="20"/>
      <x:c r="D60" s="23"/>
      <x:c r="E60" s="184"/>
      <x:c r="F60" s="23">
        <x:v>3</x:v>
      </x:c>
      <x:c r="G60" s="72" t="s">
        <x:v>218</x:v>
      </x:c>
      <x:c r="H60" s="138" t="s">
        <x:v>401</x:v>
      </x:c>
      <x:c r="I60" s="72" t="s">
        <x:v>389</x:v>
      </x:c>
      <x:c r="J60" s="22" t="s">
        <x:v>383</x:v>
      </x:c>
      <x:c r="K60" s="70" t="s">
        <x:v>358</x:v>
      </x:c>
      <x:c r="L60" s="70">
        <x:v>1</x:v>
      </x:c>
      <x:c r="M60" s="25" t="s">
        <x:v>359</x:v>
      </x:c>
      <x:c r="N60" s="25" t="s">
        <x:v>360</x:v>
      </x:c>
      <x:c r="O60" s="1"/>
      <x:c r="P60" s="1"/>
      <x:c r="Q60" s="1"/>
      <x:c r="R60" s="2"/>
    </x:row>
    <x:row r="61" ht="7.5" customHeight="1">
      <x:c r="A61" s="1"/>
      <x:c r="B61" s="13"/>
      <x:c r="C61" s="15"/>
      <x:c r="D61" s="48"/>
      <x:c r="E61" s="194"/>
      <x:c r="F61" s="59"/>
      <x:c r="G61" s="15"/>
      <x:c r="H61" s="15"/>
      <x:c r="I61" s="15"/>
      <x:c r="J61" s="15"/>
      <x:c r="K61" s="13"/>
      <x:c r="L61" s="13"/>
      <x:c r="M61" s="15"/>
      <x:c r="N61" s="15"/>
      <x:c r="O61" s="1"/>
      <x:c r="P61" s="1"/>
      <x:c r="Q61" s="1"/>
      <x:c r="R61" s="2"/>
    </x:row>
    <x:row r="62" ht="6" customHeight="1">
      <x:c r="A62" s="1"/>
      <x:c r="B62" s="3"/>
      <x:c r="C62" s="1"/>
      <x:c r="D62" s="3"/>
      <x:c r="E62" s="1"/>
      <x:c r="F62" s="141"/>
      <x:c r="G62" s="1"/>
      <x:c r="H62" s="1"/>
      <x:c r="I62" s="1"/>
      <x:c r="J62" s="1"/>
      <x:c r="K62" s="3"/>
      <x:c r="L62" s="3"/>
      <x:c r="M62" s="1"/>
      <x:c r="N62" s="1"/>
      <x:c r="O62" s="1"/>
      <x:c r="P62" s="1"/>
      <x:c r="Q62" s="1"/>
      <x:c r="R62" s="2"/>
    </x:row>
    <x:row r="63" ht="7.900000095367432" customHeight="1">
      <x:c r="A63" s="1"/>
      <x:c r="B63" s="3"/>
      <x:c r="C63" s="1"/>
      <x:c r="D63" s="3"/>
      <x:c r="E63" s="1"/>
      <x:c r="F63" s="141"/>
      <x:c r="G63" s="1"/>
      <x:c r="H63" s="1"/>
      <x:c r="I63" s="1"/>
      <x:c r="J63" s="1"/>
      <x:c r="K63" s="3"/>
      <x:c r="L63" s="3"/>
      <x:c r="M63" s="1"/>
      <x:c r="N63" s="1"/>
      <x:c r="O63" s="1"/>
      <x:c r="P63" s="1"/>
      <x:c r="Q63" s="1"/>
      <x:c r="R63" s="2"/>
    </x:row>
    <x:row r="64" ht="6.75" customHeight="1">
      <x:c r="A64" s="1"/>
      <x:c r="B64" s="3"/>
      <x:c r="C64" s="1"/>
      <x:c r="D64" s="3"/>
      <x:c r="E64" s="1"/>
      <x:c r="F64" s="141"/>
      <x:c r="G64" s="1"/>
      <x:c r="H64" s="1"/>
      <x:c r="I64" s="1"/>
      <x:c r="J64" s="1"/>
      <x:c r="K64" s="3"/>
      <x:c r="L64" s="3"/>
      <x:c r="M64" s="1"/>
      <x:c r="N64" s="1"/>
      <x:c r="O64" s="1"/>
      <x:c r="P64" s="1"/>
      <x:c r="Q64" s="1"/>
      <x:c r="R64" s="2"/>
    </x:row>
    <x:row r="65" ht="6" customHeight="1">
      <x:c r="A65" s="1"/>
      <x:c r="B65" s="3"/>
      <x:c r="C65" s="1"/>
      <x:c r="D65" s="3"/>
      <x:c r="E65" s="1"/>
      <x:c r="F65" s="141"/>
      <x:c r="G65" s="1"/>
      <x:c r="H65" s="1"/>
      <x:c r="I65" s="1"/>
      <x:c r="J65" s="1"/>
      <x:c r="K65" s="74"/>
      <x:c r="L65" s="74"/>
      <x:c r="M65" s="1"/>
      <x:c r="N65" s="1"/>
      <x:c r="O65" s="1"/>
      <x:c r="P65" s="1"/>
      <x:c r="Q65" s="1"/>
      <x:c r="R65" s="2"/>
    </x:row>
    <x:row r="66" ht="6" customHeight="1">
      <x:c r="A66" s="1"/>
      <x:c r="B66" s="3"/>
      <x:c r="C66" s="1"/>
      <x:c r="D66" s="3"/>
      <x:c r="E66" s="1"/>
      <x:c r="F66" s="141"/>
      <x:c r="G66" s="1"/>
      <x:c r="H66" s="1"/>
      <x:c r="I66" s="1"/>
      <x:c r="J66" s="1"/>
      <x:c r="K66" s="3"/>
      <x:c r="L66" s="3"/>
      <x:c r="M66" s="1"/>
      <x:c r="N66" s="1"/>
      <x:c r="O66" s="1"/>
      <x:c r="P66" s="1"/>
      <x:c r="Q66" s="1"/>
      <x:c r="R66" s="2"/>
    </x:row>
    <x:row r="67" ht="6" customHeight="1">
      <x:c r="A67" s="1"/>
      <x:c r="B67" s="3"/>
      <x:c r="C67" s="1"/>
      <x:c r="D67" s="3"/>
      <x:c r="E67" s="1"/>
      <x:c r="F67" s="141"/>
      <x:c r="G67" s="1"/>
      <x:c r="H67" s="1"/>
      <x:c r="I67" s="1"/>
      <x:c r="J67" s="1"/>
      <x:c r="K67" s="3"/>
      <x:c r="L67" s="3"/>
      <x:c r="M67" s="1"/>
      <x:c r="N67" s="1"/>
      <x:c r="O67" s="1"/>
      <x:c r="P67" s="1"/>
      <x:c r="Q67" s="1"/>
      <x:c r="R67" s="2"/>
    </x:row>
    <x:row r="68" ht="6" customHeight="1">
      <x:c r="A68" s="1"/>
      <x:c r="B68" s="3"/>
      <x:c r="C68" s="1"/>
      <x:c r="D68" s="3"/>
      <x:c r="E68" s="1"/>
      <x:c r="F68" s="141"/>
      <x:c r="G68" s="1"/>
      <x:c r="H68" s="1"/>
      <x:c r="I68" s="1"/>
      <x:c r="J68" s="1"/>
      <x:c r="K68" s="75"/>
      <x:c r="L68" s="75"/>
      <x:c r="M68" s="1"/>
      <x:c r="N68" s="1"/>
      <x:c r="O68" s="1"/>
      <x:c r="P68" s="1"/>
      <x:c r="Q68" s="1"/>
      <x:c r="R68" s="2"/>
    </x:row>
    <x:row r="69" ht="6" customHeight="1">
      <x:c r="A69" s="1"/>
      <x:c r="B69" s="3"/>
      <x:c r="C69" s="1"/>
      <x:c r="D69" s="3"/>
      <x:c r="E69" s="1"/>
      <x:c r="F69" s="141"/>
      <x:c r="G69" s="1"/>
      <x:c r="H69" s="1"/>
      <x:c r="I69" s="1"/>
      <x:c r="J69" s="1"/>
      <x:c r="K69" s="3"/>
      <x:c r="L69" s="3"/>
      <x:c r="M69" s="1"/>
      <x:c r="N69" s="1"/>
      <x:c r="O69" s="1"/>
      <x:c r="P69" s="1"/>
      <x:c r="Q69" s="1"/>
      <x:c r="R69" s="2"/>
    </x:row>
    <x:row r="70" ht="6" customHeight="1">
      <x:c r="A70" s="1"/>
      <x:c r="B70" s="3"/>
      <x:c r="C70" s="1"/>
      <x:c r="D70" s="3"/>
      <x:c r="E70" s="1"/>
      <x:c r="F70" s="141"/>
      <x:c r="G70" s="1"/>
      <x:c r="H70" s="1"/>
      <x:c r="I70" s="1"/>
      <x:c r="J70" s="1"/>
      <x:c r="K70" s="3"/>
      <x:c r="L70" s="3"/>
      <x:c r="M70" s="1"/>
      <x:c r="N70" s="1"/>
      <x:c r="O70" s="1"/>
      <x:c r="P70" s="1"/>
      <x:c r="Q70" s="1"/>
      <x:c r="R70" s="2"/>
    </x:row>
    <x:row r="71" ht="6" customHeight="1">
      <x:c r="A71" s="1"/>
      <x:c r="B71" s="3"/>
      <x:c r="C71" s="1"/>
      <x:c r="D71" s="3"/>
      <x:c r="E71" s="1"/>
      <x:c r="F71" s="141"/>
      <x:c r="G71" s="1"/>
      <x:c r="H71" s="1"/>
      <x:c r="I71" s="1"/>
      <x:c r="J71" s="1"/>
      <x:c r="K71" s="3"/>
      <x:c r="L71" s="3"/>
      <x:c r="M71" s="1"/>
      <x:c r="N71" s="1"/>
      <x:c r="O71" s="1"/>
      <x:c r="P71" s="1"/>
      <x:c r="Q71" s="1"/>
      <x:c r="R71" s="2"/>
    </x:row>
    <x:row r="72" ht="6" customHeight="1">
      <x:c r="A72" s="1"/>
      <x:c r="B72" s="3"/>
      <x:c r="C72" s="1"/>
      <x:c r="D72" s="3"/>
      <x:c r="E72" s="1"/>
      <x:c r="F72" s="141"/>
      <x:c r="G72" s="1"/>
      <x:c r="H72" s="1"/>
      <x:c r="I72" s="1"/>
      <x:c r="J72" s="1"/>
      <x:c r="K72" s="3"/>
      <x:c r="L72" s="3"/>
      <x:c r="M72" s="1"/>
      <x:c r="N72" s="1"/>
      <x:c r="O72" s="1"/>
      <x:c r="P72" s="1"/>
      <x:c r="Q72" s="1"/>
      <x:c r="R72" s="2"/>
    </x:row>
    <x:row r="73" ht="6" customHeight="1">
      <x:c r="A73" s="1"/>
      <x:c r="B73" s="3"/>
      <x:c r="C73" s="1"/>
      <x:c r="D73" s="3"/>
      <x:c r="E73" s="1"/>
      <x:c r="F73" s="141"/>
      <x:c r="G73" s="1"/>
      <x:c r="H73" s="1"/>
      <x:c r="I73" s="1"/>
      <x:c r="J73" s="1"/>
      <x:c r="K73" s="3"/>
      <x:c r="L73" s="3"/>
      <x:c r="M73" s="1"/>
      <x:c r="N73" s="1"/>
      <x:c r="O73" s="1"/>
      <x:c r="P73" s="1"/>
      <x:c r="Q73" s="1"/>
      <x:c r="R73" s="2"/>
    </x:row>
    <x:row r="74" ht="6" customHeight="1">
      <x:c r="A74" s="1"/>
      <x:c r="B74" s="3"/>
      <x:c r="C74" s="1"/>
      <x:c r="D74" s="3"/>
      <x:c r="E74" s="1"/>
      <x:c r="F74" s="141"/>
      <x:c r="G74" s="1"/>
      <x:c r="H74" s="1"/>
      <x:c r="I74" s="1"/>
      <x:c r="J74" s="1"/>
      <x:c r="K74" s="3"/>
      <x:c r="L74" s="3"/>
      <x:c r="M74" s="1"/>
      <x:c r="N74" s="1"/>
      <x:c r="O74" s="1"/>
      <x:c r="P74" s="1"/>
      <x:c r="Q74" s="1"/>
      <x:c r="R74" s="2"/>
    </x:row>
    <x:row r="75" ht="6" customHeight="1">
      <x:c r="A75" s="1"/>
      <x:c r="B75" s="3"/>
      <x:c r="C75" s="1"/>
      <x:c r="D75" s="3"/>
      <x:c r="E75" s="1"/>
      <x:c r="F75" s="141"/>
      <x:c r="G75" s="1"/>
      <x:c r="H75" s="1"/>
      <x:c r="I75" s="1"/>
      <x:c r="J75" s="1"/>
      <x:c r="K75" s="3"/>
      <x:c r="L75" s="3"/>
      <x:c r="M75" s="1"/>
      <x:c r="N75" s="1"/>
      <x:c r="O75" s="1"/>
      <x:c r="P75" s="1"/>
      <x:c r="Q75" s="1"/>
      <x:c r="R75" s="2"/>
    </x:row>
    <x:row r="76" ht="6" customHeight="1">
      <x:c r="A76" s="1"/>
      <x:c r="B76" s="3"/>
      <x:c r="C76" s="1"/>
      <x:c r="D76" s="3"/>
      <x:c r="E76" s="1"/>
      <x:c r="F76" s="141"/>
      <x:c r="G76" s="1"/>
      <x:c r="H76" s="1"/>
      <x:c r="I76" s="1"/>
      <x:c r="J76" s="1"/>
      <x:c r="K76" s="3"/>
      <x:c r="L76" s="3"/>
      <x:c r="M76" s="1"/>
      <x:c r="N76" s="1"/>
      <x:c r="O76" s="1"/>
      <x:c r="P76" s="1"/>
      <x:c r="Q76" s="1"/>
      <x:c r="R76" s="2"/>
    </x:row>
    <x:row r="77" ht="6" customHeight="1">
      <x:c r="A77" s="1"/>
      <x:c r="B77" s="3"/>
      <x:c r="C77" s="1"/>
      <x:c r="D77" s="3"/>
      <x:c r="E77" s="1"/>
      <x:c r="F77" s="141"/>
      <x:c r="G77" s="1"/>
      <x:c r="H77" s="1"/>
      <x:c r="I77" s="1"/>
      <x:c r="J77" s="1"/>
      <x:c r="K77" s="3"/>
      <x:c r="L77" s="3"/>
      <x:c r="M77" s="1"/>
      <x:c r="N77" s="1"/>
      <x:c r="O77" s="1"/>
      <x:c r="P77" s="1"/>
      <x:c r="Q77" s="1"/>
      <x:c r="R77" s="2"/>
    </x:row>
    <x:row r="78" ht="6" customHeight="1">
      <x:c r="A78" s="1"/>
      <x:c r="B78" s="3"/>
      <x:c r="C78" s="1"/>
      <x:c r="D78" s="3"/>
      <x:c r="E78" s="1"/>
      <x:c r="F78" s="141"/>
      <x:c r="G78" s="1"/>
      <x:c r="H78" s="1"/>
      <x:c r="I78" s="1"/>
      <x:c r="J78" s="1"/>
      <x:c r="K78" s="3"/>
      <x:c r="L78" s="3"/>
      <x:c r="M78" s="1"/>
      <x:c r="N78" s="1"/>
      <x:c r="O78" s="1"/>
      <x:c r="P78" s="1"/>
      <x:c r="Q78" s="1"/>
      <x:c r="R78" s="2"/>
    </x:row>
    <x:row r="79" ht="6" customHeight="1">
      <x:c r="A79" s="1"/>
      <x:c r="B79" s="3"/>
      <x:c r="C79" s="1"/>
      <x:c r="D79" s="3"/>
      <x:c r="E79" s="1"/>
      <x:c r="F79" s="141"/>
      <x:c r="G79" s="1"/>
      <x:c r="H79" s="1"/>
      <x:c r="I79" s="1"/>
      <x:c r="J79" s="1"/>
      <x:c r="K79" s="76"/>
      <x:c r="L79" s="76"/>
      <x:c r="M79" s="1"/>
      <x:c r="N79" s="1"/>
      <x:c r="O79" s="1"/>
      <x:c r="P79" s="1"/>
      <x:c r="Q79" s="1"/>
      <x:c r="R79" s="2"/>
    </x:row>
    <x:row r="80" ht="6" customHeight="1">
      <x:c r="A80" s="1"/>
      <x:c r="B80" s="3"/>
      <x:c r="C80" s="1"/>
      <x:c r="D80" s="3"/>
      <x:c r="E80" s="1"/>
      <x:c r="F80" s="141"/>
      <x:c r="G80" s="1"/>
      <x:c r="H80" s="1"/>
      <x:c r="I80" s="1"/>
      <x:c r="J80" s="1"/>
      <x:c r="K80" s="3"/>
      <x:c r="L80" s="3"/>
      <x:c r="M80" s="1"/>
      <x:c r="N80" s="1"/>
      <x:c r="O80" s="1"/>
      <x:c r="P80" s="1"/>
      <x:c r="Q80" s="1"/>
      <x:c r="R80" s="2"/>
    </x:row>
    <x:row r="81" ht="6" customHeight="1">
      <x:c r="A81" s="1"/>
      <x:c r="B81" s="3"/>
      <x:c r="C81" s="1"/>
      <x:c r="D81" s="3"/>
      <x:c r="E81" s="1"/>
      <x:c r="F81" s="141"/>
      <x:c r="G81" s="1"/>
      <x:c r="H81" s="1"/>
      <x:c r="I81" s="1"/>
      <x:c r="J81" s="1"/>
      <x:c r="K81" s="3"/>
      <x:c r="L81" s="3"/>
      <x:c r="M81" s="1"/>
      <x:c r="N81" s="1"/>
      <x:c r="O81" s="1"/>
      <x:c r="P81" s="1"/>
      <x:c r="Q81" s="1"/>
      <x:c r="R81" s="2"/>
    </x:row>
    <x:row r="82" ht="6" customHeight="1">
      <x:c r="A82" s="1"/>
      <x:c r="B82" s="3"/>
      <x:c r="C82" s="1"/>
      <x:c r="D82" s="3"/>
      <x:c r="E82" s="1"/>
      <x:c r="F82" s="141"/>
      <x:c r="G82" s="1"/>
      <x:c r="H82" s="1"/>
      <x:c r="I82" s="1"/>
      <x:c r="J82" s="1"/>
      <x:c r="K82" s="3"/>
      <x:c r="L82" s="3"/>
      <x:c r="M82" s="1"/>
      <x:c r="N82" s="1"/>
      <x:c r="O82" s="1"/>
      <x:c r="P82" s="1"/>
      <x:c r="Q82" s="1"/>
      <x:c r="R82" s="2"/>
    </x:row>
    <x:row r="83" ht="6" customHeight="1">
      <x:c r="A83" s="1"/>
      <x:c r="B83" s="3"/>
      <x:c r="C83" s="1"/>
      <x:c r="D83" s="3"/>
      <x:c r="E83" s="1"/>
      <x:c r="F83" s="141"/>
      <x:c r="G83" s="1"/>
      <x:c r="H83" s="1"/>
      <x:c r="I83" s="1"/>
      <x:c r="J83" s="1"/>
      <x:c r="K83" s="3"/>
      <x:c r="L83" s="3"/>
      <x:c r="M83" s="1"/>
      <x:c r="N83" s="1"/>
      <x:c r="O83" s="1"/>
      <x:c r="P83" s="1"/>
      <x:c r="Q83" s="1"/>
      <x:c r="R83" s="2"/>
    </x:row>
    <x:row r="84" ht="6" customHeight="1">
      <x:c r="A84" s="1"/>
      <x:c r="B84" s="3"/>
      <x:c r="C84" s="1"/>
      <x:c r="D84" s="3"/>
      <x:c r="E84" s="1"/>
      <x:c r="F84" s="141"/>
      <x:c r="G84" s="1"/>
      <x:c r="H84" s="1"/>
      <x:c r="I84" s="1"/>
      <x:c r="J84" s="1"/>
      <x:c r="K84" s="3"/>
      <x:c r="L84" s="3"/>
      <x:c r="M84" s="1"/>
      <x:c r="N84" s="1"/>
      <x:c r="O84" s="1"/>
      <x:c r="P84" s="1"/>
      <x:c r="Q84" s="1"/>
      <x:c r="R84" s="2"/>
    </x:row>
    <x:row r="85" ht="6" customHeight="1">
      <x:c r="A85" s="1"/>
      <x:c r="B85" s="3"/>
      <x:c r="C85" s="1"/>
      <x:c r="D85" s="3"/>
      <x:c r="E85" s="1"/>
      <x:c r="F85" s="141"/>
      <x:c r="G85" s="1"/>
      <x:c r="H85" s="1"/>
      <x:c r="I85" s="1"/>
      <x:c r="J85" s="1"/>
      <x:c r="K85" s="3"/>
      <x:c r="L85" s="3"/>
      <x:c r="M85" s="1"/>
      <x:c r="N85" s="1"/>
      <x:c r="O85" s="1"/>
      <x:c r="P85" s="1"/>
      <x:c r="Q85" s="1"/>
      <x:c r="R85" s="2"/>
    </x:row>
    <x:row r="86" ht="6" customHeight="1">
      <x:c r="A86" s="1"/>
      <x:c r="B86" s="3"/>
      <x:c r="C86" s="1"/>
      <x:c r="D86" s="3"/>
      <x:c r="E86" s="1"/>
      <x:c r="F86" s="141"/>
      <x:c r="G86" s="1"/>
      <x:c r="H86" s="1"/>
      <x:c r="I86" s="1"/>
      <x:c r="J86" s="1"/>
      <x:c r="K86" s="3"/>
      <x:c r="L86" s="3"/>
      <x:c r="M86" s="1"/>
      <x:c r="N86" s="1"/>
      <x:c r="O86" s="1"/>
      <x:c r="P86" s="1"/>
      <x:c r="Q86" s="1"/>
      <x:c r="R86" s="2"/>
    </x:row>
    <x:row r="87" ht="6" customHeight="1">
      <x:c r="A87" s="1"/>
      <x:c r="B87" s="3"/>
      <x:c r="C87" s="1"/>
      <x:c r="D87" s="3"/>
      <x:c r="E87" s="1"/>
      <x:c r="F87" s="141"/>
      <x:c r="G87" s="1"/>
      <x:c r="H87" s="1"/>
      <x:c r="I87" s="1"/>
      <x:c r="J87" s="1"/>
      <x:c r="K87" s="3"/>
      <x:c r="L87" s="3"/>
      <x:c r="M87" s="1"/>
      <x:c r="N87" s="1"/>
      <x:c r="O87" s="1"/>
      <x:c r="P87" s="1"/>
      <x:c r="Q87" s="1"/>
      <x:c r="R87" s="2"/>
    </x:row>
    <x:row r="88" ht="6" customHeight="1">
      <x:c r="A88" s="1"/>
      <x:c r="B88" s="3"/>
      <x:c r="C88" s="1"/>
      <x:c r="D88" s="3"/>
      <x:c r="E88" s="1"/>
      <x:c r="F88" s="141"/>
      <x:c r="G88" s="1"/>
      <x:c r="H88" s="1"/>
      <x:c r="I88" s="1"/>
      <x:c r="J88" s="1"/>
      <x:c r="K88" s="3"/>
      <x:c r="L88" s="3"/>
      <x:c r="M88" s="1"/>
      <x:c r="N88" s="1"/>
      <x:c r="O88" s="1"/>
      <x:c r="P88" s="1"/>
      <x:c r="Q88" s="1"/>
      <x:c r="R88" s="2"/>
    </x:row>
    <x:row r="89" ht="6" customHeight="1">
      <x:c r="A89" s="1"/>
      <x:c r="B89" s="3"/>
      <x:c r="C89" s="1"/>
      <x:c r="D89" s="3"/>
      <x:c r="E89" s="1"/>
      <x:c r="F89" s="141"/>
      <x:c r="G89" s="1"/>
      <x:c r="H89" s="1"/>
      <x:c r="I89" s="1"/>
      <x:c r="J89" s="1"/>
      <x:c r="K89" s="3"/>
      <x:c r="L89" s="3"/>
      <x:c r="M89" s="1"/>
      <x:c r="N89" s="1"/>
      <x:c r="O89" s="1"/>
      <x:c r="P89" s="1"/>
      <x:c r="Q89" s="1"/>
      <x:c r="R89" s="2"/>
    </x:row>
    <x:row r="90" ht="6" customHeight="1">
      <x:c r="A90" s="1"/>
      <x:c r="B90" s="3"/>
      <x:c r="C90" s="1"/>
      <x:c r="D90" s="3"/>
      <x:c r="E90" s="1"/>
      <x:c r="F90" s="141"/>
      <x:c r="G90" s="1"/>
      <x:c r="H90" s="1"/>
      <x:c r="I90" s="1"/>
      <x:c r="J90" s="1"/>
      <x:c r="K90" s="3"/>
      <x:c r="L90" s="3"/>
      <x:c r="M90" s="1"/>
      <x:c r="N90" s="1"/>
      <x:c r="O90" s="1"/>
      <x:c r="P90" s="1"/>
      <x:c r="Q90" s="1"/>
      <x:c r="R90" s="2"/>
    </x:row>
    <x:row r="91" ht="6" customHeight="1">
      <x:c r="A91" s="1"/>
      <x:c r="B91" s="3"/>
      <x:c r="C91" s="1"/>
      <x:c r="D91" s="3"/>
      <x:c r="E91" s="1"/>
      <x:c r="F91" s="141"/>
      <x:c r="G91" s="1"/>
      <x:c r="H91" s="1"/>
      <x:c r="I91" s="1"/>
      <x:c r="J91" s="1"/>
      <x:c r="K91" s="3"/>
      <x:c r="L91" s="3"/>
      <x:c r="M91" s="1"/>
      <x:c r="N91" s="1"/>
      <x:c r="O91" s="1"/>
      <x:c r="P91" s="1"/>
      <x:c r="Q91" s="1"/>
      <x:c r="R91" s="2"/>
    </x:row>
    <x:row r="92" ht="6" customHeight="1">
      <x:c r="A92" s="1"/>
      <x:c r="B92" s="3"/>
      <x:c r="C92" s="1"/>
      <x:c r="D92" s="3"/>
      <x:c r="E92" s="1"/>
      <x:c r="F92" s="141"/>
      <x:c r="G92" s="1"/>
      <x:c r="H92" s="1"/>
      <x:c r="I92" s="1"/>
      <x:c r="J92" s="1"/>
      <x:c r="K92" s="3"/>
      <x:c r="L92" s="3"/>
      <x:c r="M92" s="1"/>
      <x:c r="N92" s="1"/>
      <x:c r="O92" s="1"/>
      <x:c r="P92" s="1"/>
      <x:c r="Q92" s="1"/>
      <x:c r="R92" s="2"/>
    </x:row>
    <x:row r="93" ht="6" customHeight="1">
      <x:c r="A93" s="1"/>
      <x:c r="B93" s="3"/>
      <x:c r="C93" s="1"/>
      <x:c r="D93" s="3"/>
      <x:c r="E93" s="1"/>
      <x:c r="F93" s="141"/>
      <x:c r="G93" s="1"/>
      <x:c r="H93" s="1"/>
      <x:c r="I93" s="1"/>
      <x:c r="J93" s="1"/>
      <x:c r="K93" s="3"/>
      <x:c r="L93" s="3"/>
      <x:c r="M93" s="1"/>
      <x:c r="N93" s="1"/>
      <x:c r="O93" s="1"/>
      <x:c r="P93" s="1"/>
      <x:c r="Q93" s="1"/>
      <x:c r="R93" s="2"/>
    </x:row>
    <x:row r="94" ht="6" customHeight="1">
      <x:c r="A94" s="1"/>
      <x:c r="B94" s="3"/>
      <x:c r="C94" s="1"/>
      <x:c r="D94" s="3"/>
      <x:c r="E94" s="1"/>
      <x:c r="F94" s="141"/>
      <x:c r="G94" s="1"/>
      <x:c r="H94" s="1"/>
      <x:c r="I94" s="1"/>
      <x:c r="J94" s="1"/>
      <x:c r="K94" s="3"/>
      <x:c r="L94" s="3"/>
      <x:c r="M94" s="1"/>
      <x:c r="N94" s="1"/>
      <x:c r="O94" s="1"/>
      <x:c r="P94" s="1"/>
      <x:c r="Q94" s="1"/>
      <x:c r="R94" s="2"/>
    </x:row>
    <x:row r="95" ht="6" customHeight="1">
      <x:c r="A95" s="1"/>
      <x:c r="B95" s="3"/>
      <x:c r="C95" s="1"/>
      <x:c r="D95" s="3"/>
      <x:c r="E95" s="1"/>
      <x:c r="F95" s="141"/>
      <x:c r="G95" s="1"/>
      <x:c r="H95" s="1"/>
      <x:c r="I95" s="1"/>
      <x:c r="J95" s="1"/>
      <x:c r="K95" s="3"/>
      <x:c r="L95" s="3"/>
      <x:c r="M95" s="1"/>
      <x:c r="N95" s="1"/>
      <x:c r="O95" s="1"/>
      <x:c r="P95" s="1"/>
      <x:c r="Q95" s="1"/>
      <x:c r="R95" s="2"/>
    </x:row>
    <x:row r="96" ht="6" customHeight="1">
      <x:c r="A96" s="1"/>
      <x:c r="B96" s="3"/>
      <x:c r="C96" s="1"/>
      <x:c r="D96" s="3"/>
      <x:c r="E96" s="1"/>
      <x:c r="F96" s="141"/>
      <x:c r="G96" s="1"/>
      <x:c r="H96" s="1"/>
      <x:c r="I96" s="1"/>
      <x:c r="J96" s="1"/>
      <x:c r="K96" s="3"/>
      <x:c r="L96" s="3"/>
      <x:c r="M96" s="1"/>
      <x:c r="N96" s="1"/>
      <x:c r="O96" s="1"/>
      <x:c r="P96" s="1"/>
      <x:c r="Q96" s="1"/>
      <x:c r="R96" s="2"/>
    </x:row>
    <x:row r="97" ht="6" customHeight="1">
      <x:c r="A97" s="1"/>
      <x:c r="B97" s="3"/>
      <x:c r="C97" s="1"/>
      <x:c r="D97" s="3"/>
      <x:c r="E97" s="1"/>
      <x:c r="F97" s="141"/>
      <x:c r="G97" s="1"/>
      <x:c r="H97" s="1"/>
      <x:c r="I97" s="1"/>
      <x:c r="J97" s="1"/>
      <x:c r="K97" s="3"/>
      <x:c r="L97" s="3"/>
      <x:c r="M97" s="1"/>
      <x:c r="N97" s="1"/>
      <x:c r="O97" s="1"/>
      <x:c r="P97" s="1"/>
      <x:c r="Q97" s="1"/>
      <x:c r="R97" s="2"/>
    </x:row>
    <x:row r="98" ht="6" customHeight="1">
      <x:c r="A98" s="1"/>
      <x:c r="B98" s="3"/>
      <x:c r="C98" s="1"/>
      <x:c r="D98" s="3"/>
      <x:c r="E98" s="1"/>
      <x:c r="F98" s="141"/>
      <x:c r="G98" s="1"/>
      <x:c r="H98" s="1"/>
      <x:c r="I98" s="1"/>
      <x:c r="J98" s="1"/>
      <x:c r="K98" s="3"/>
      <x:c r="L98" s="3"/>
      <x:c r="M98" s="1"/>
      <x:c r="N98" s="1"/>
      <x:c r="O98" s="1"/>
      <x:c r="P98" s="1"/>
      <x:c r="Q98" s="1"/>
      <x:c r="R98" s="2"/>
    </x:row>
    <x:row r="99" ht="6" customHeight="1">
      <x:c r="A99" s="1"/>
      <x:c r="B99" s="3"/>
      <x:c r="C99" s="1"/>
      <x:c r="D99" s="3"/>
      <x:c r="E99" s="1"/>
      <x:c r="F99" s="141"/>
      <x:c r="G99" s="1"/>
      <x:c r="H99" s="1"/>
      <x:c r="I99" s="1"/>
      <x:c r="J99" s="1"/>
      <x:c r="K99" s="3"/>
      <x:c r="L99" s="3"/>
      <x:c r="M99" s="1"/>
      <x:c r="N99" s="1"/>
      <x:c r="O99" s="1"/>
      <x:c r="P99" s="1"/>
      <x:c r="Q99" s="1"/>
      <x:c r="R99" s="2"/>
    </x:row>
    <x:row r="100" ht="6" customHeight="1">
      <x:c r="A100" s="1"/>
      <x:c r="B100" s="3"/>
      <x:c r="C100" s="1"/>
      <x:c r="D100" s="3"/>
      <x:c r="E100" s="1"/>
      <x:c r="F100" s="141"/>
      <x:c r="G100" s="1"/>
      <x:c r="H100" s="1"/>
      <x:c r="I100" s="1"/>
      <x:c r="J100" s="1"/>
      <x:c r="K100" s="3"/>
      <x:c r="L100" s="3"/>
      <x:c r="M100" s="1"/>
      <x:c r="N100" s="1"/>
      <x:c r="O100" s="1"/>
      <x:c r="P100" s="1"/>
      <x:c r="Q100" s="1"/>
      <x:c r="R100" s="2"/>
    </x:row>
    <x:row r="101" ht="6" customHeight="1">
      <x:c r="A101" s="1"/>
      <x:c r="B101" s="3"/>
      <x:c r="C101" s="1"/>
      <x:c r="D101" s="3"/>
      <x:c r="E101" s="1"/>
      <x:c r="F101" s="141"/>
      <x:c r="G101" s="1"/>
      <x:c r="H101" s="1"/>
      <x:c r="I101" s="1"/>
      <x:c r="J101" s="1"/>
      <x:c r="K101" s="3"/>
      <x:c r="L101" s="3"/>
      <x:c r="M101" s="1"/>
      <x:c r="N101" s="1"/>
      <x:c r="O101" s="1"/>
      <x:c r="P101" s="1"/>
      <x:c r="Q101" s="1"/>
      <x:c r="R101" s="2"/>
    </x:row>
    <x:row r="102" ht="6" customHeight="1">
      <x:c r="A102" s="1"/>
      <x:c r="B102" s="3"/>
      <x:c r="C102" s="1"/>
      <x:c r="D102" s="3"/>
      <x:c r="E102" s="1"/>
      <x:c r="F102" s="141"/>
      <x:c r="G102" s="1"/>
      <x:c r="H102" s="1"/>
      <x:c r="I102" s="1"/>
      <x:c r="J102" s="1"/>
      <x:c r="K102" s="3"/>
      <x:c r="L102" s="3"/>
      <x:c r="M102" s="1"/>
      <x:c r="N102" s="1"/>
      <x:c r="O102" s="1"/>
      <x:c r="P102" s="1"/>
      <x:c r="Q102" s="1"/>
      <x:c r="R102" s="2"/>
    </x:row>
    <x:row r="103" ht="6" customHeight="1">
      <x:c r="A103" s="1"/>
      <x:c r="B103" s="3"/>
      <x:c r="C103" s="1"/>
      <x:c r="D103" s="3"/>
      <x:c r="E103" s="1"/>
      <x:c r="F103" s="141"/>
      <x:c r="G103" s="1"/>
      <x:c r="H103" s="1"/>
      <x:c r="I103" s="1"/>
      <x:c r="J103" s="1"/>
      <x:c r="K103" s="3"/>
      <x:c r="L103" s="3"/>
      <x:c r="M103" s="1"/>
      <x:c r="N103" s="1"/>
      <x:c r="O103" s="1"/>
      <x:c r="P103" s="1"/>
      <x:c r="Q103" s="1"/>
      <x:c r="R103" s="2"/>
    </x:row>
    <x:row r="104" ht="6" customHeight="1">
      <x:c r="A104" s="1"/>
      <x:c r="B104" s="3"/>
      <x:c r="C104" s="1"/>
      <x:c r="D104" s="3"/>
      <x:c r="E104" s="1"/>
      <x:c r="F104" s="141"/>
      <x:c r="G104" s="1"/>
      <x:c r="H104" s="1"/>
      <x:c r="I104" s="1"/>
      <x:c r="J104" s="1"/>
      <x:c r="K104" s="3"/>
      <x:c r="L104" s="3"/>
      <x:c r="M104" s="1"/>
      <x:c r="N104" s="1"/>
      <x:c r="O104" s="1"/>
      <x:c r="P104" s="1"/>
      <x:c r="Q104" s="1"/>
      <x:c r="R104" s="2"/>
    </x:row>
    <x:row r="105" ht="6" customHeight="1">
      <x:c r="A105" s="1"/>
      <x:c r="B105" s="3"/>
      <x:c r="C105" s="1"/>
      <x:c r="D105" s="3"/>
      <x:c r="E105" s="1"/>
      <x:c r="F105" s="141"/>
      <x:c r="G105" s="1"/>
      <x:c r="H105" s="1"/>
      <x:c r="I105" s="1"/>
      <x:c r="J105" s="1"/>
      <x:c r="K105" s="3"/>
      <x:c r="L105" s="3"/>
      <x:c r="M105" s="1"/>
      <x:c r="N105" s="1"/>
      <x:c r="O105" s="1"/>
      <x:c r="P105" s="1"/>
      <x:c r="Q105" s="1"/>
      <x:c r="R105" s="2"/>
    </x:row>
    <x:row r="106" ht="6" customHeight="1">
      <x:c r="A106" s="1"/>
      <x:c r="B106" s="3"/>
      <x:c r="C106" s="1"/>
      <x:c r="D106" s="3"/>
      <x:c r="E106" s="1"/>
      <x:c r="F106" s="141"/>
      <x:c r="G106" s="1"/>
      <x:c r="H106" s="1"/>
      <x:c r="I106" s="1"/>
      <x:c r="J106" s="1"/>
      <x:c r="K106" s="3"/>
      <x:c r="L106" s="3"/>
      <x:c r="M106" s="1"/>
      <x:c r="N106" s="1"/>
      <x:c r="O106" s="1"/>
      <x:c r="P106" s="1"/>
      <x:c r="Q106" s="1"/>
      <x:c r="R106" s="2"/>
    </x:row>
    <x:row r="107" ht="6" customHeight="1">
      <x:c r="A107" s="1"/>
      <x:c r="B107" s="3"/>
      <x:c r="C107" s="1"/>
      <x:c r="D107" s="3"/>
      <x:c r="E107" s="1"/>
      <x:c r="F107" s="141"/>
      <x:c r="G107" s="1"/>
      <x:c r="H107" s="1"/>
      <x:c r="I107" s="1"/>
      <x:c r="J107" s="1"/>
      <x:c r="K107" s="3"/>
      <x:c r="L107" s="3"/>
      <x:c r="M107" s="1"/>
      <x:c r="N107" s="1"/>
      <x:c r="O107" s="1"/>
      <x:c r="P107" s="1"/>
      <x:c r="Q107" s="1"/>
      <x:c r="R107" s="2"/>
    </x:row>
    <x:row r="108" ht="6" customHeight="1">
      <x:c r="A108" s="1"/>
      <x:c r="B108" s="3"/>
      <x:c r="C108" s="1"/>
      <x:c r="D108" s="3"/>
      <x:c r="E108" s="1"/>
      <x:c r="F108" s="141"/>
      <x:c r="G108" s="1"/>
      <x:c r="H108" s="1"/>
      <x:c r="I108" s="1"/>
      <x:c r="J108" s="1"/>
      <x:c r="K108" s="3"/>
      <x:c r="L108" s="3"/>
      <x:c r="M108" s="1"/>
      <x:c r="N108" s="1"/>
      <x:c r="O108" s="1"/>
      <x:c r="P108" s="1"/>
      <x:c r="Q108" s="1"/>
      <x:c r="R108" s="2"/>
    </x:row>
    <x:row r="109" ht="6" customHeight="1">
      <x:c r="A109" s="1"/>
      <x:c r="B109" s="3"/>
      <x:c r="C109" s="1"/>
      <x:c r="D109" s="3"/>
      <x:c r="E109" s="1"/>
      <x:c r="F109" s="141"/>
      <x:c r="G109" s="1"/>
      <x:c r="H109" s="1"/>
      <x:c r="I109" s="1"/>
      <x:c r="J109" s="1"/>
      <x:c r="K109" s="3"/>
      <x:c r="L109" s="3"/>
      <x:c r="M109" s="1"/>
      <x:c r="N109" s="1"/>
      <x:c r="O109" s="1"/>
      <x:c r="P109" s="1"/>
      <x:c r="Q109" s="1"/>
      <x:c r="R109" s="2"/>
    </x:row>
    <x:row r="110" ht="6" customHeight="1">
      <x:c r="A110" s="1"/>
      <x:c r="B110" s="3"/>
      <x:c r="C110" s="1"/>
      <x:c r="D110" s="3"/>
      <x:c r="E110" s="1"/>
      <x:c r="F110" s="141"/>
      <x:c r="G110" s="1"/>
      <x:c r="H110" s="1"/>
      <x:c r="I110" s="1"/>
      <x:c r="J110" s="1"/>
      <x:c r="K110" s="3"/>
      <x:c r="L110" s="3"/>
      <x:c r="M110" s="1"/>
      <x:c r="N110" s="1"/>
      <x:c r="O110" s="1"/>
      <x:c r="P110" s="1"/>
      <x:c r="Q110" s="1"/>
      <x:c r="R110" s="2"/>
    </x:row>
    <x:row r="111" ht="6" customHeight="1">
      <x:c r="A111" s="1"/>
      <x:c r="B111" s="3"/>
      <x:c r="C111" s="1"/>
      <x:c r="D111" s="3"/>
      <x:c r="E111" s="1"/>
      <x:c r="F111" s="141"/>
      <x:c r="G111" s="1"/>
      <x:c r="H111" s="1"/>
      <x:c r="I111" s="1"/>
      <x:c r="J111" s="1"/>
      <x:c r="K111" s="3"/>
      <x:c r="L111" s="3"/>
      <x:c r="M111" s="1"/>
      <x:c r="N111" s="1"/>
      <x:c r="O111" s="1"/>
      <x:c r="P111" s="1"/>
      <x:c r="Q111" s="1"/>
      <x:c r="R111" s="2"/>
    </x:row>
    <x:row r="112" ht="6" customHeight="1">
      <x:c r="A112" s="1"/>
      <x:c r="B112" s="3"/>
      <x:c r="C112" s="1"/>
      <x:c r="D112" s="3"/>
      <x:c r="E112" s="1"/>
      <x:c r="F112" s="141"/>
      <x:c r="G112" s="1"/>
      <x:c r="H112" s="1"/>
      <x:c r="I112" s="1"/>
      <x:c r="J112" s="1"/>
      <x:c r="K112" s="3"/>
      <x:c r="L112" s="3"/>
      <x:c r="M112" s="1"/>
      <x:c r="N112" s="1"/>
      <x:c r="O112" s="1"/>
      <x:c r="P112" s="1"/>
      <x:c r="Q112" s="1"/>
      <x:c r="R112" s="2"/>
    </x:row>
    <x:row r="113" ht="6" customHeight="1">
      <x:c r="A113" s="1"/>
      <x:c r="B113" s="3"/>
      <x:c r="C113" s="1"/>
      <x:c r="D113" s="3"/>
      <x:c r="E113" s="1"/>
      <x:c r="F113" s="141"/>
      <x:c r="G113" s="1"/>
      <x:c r="H113" s="1"/>
      <x:c r="I113" s="1"/>
      <x:c r="J113" s="1"/>
      <x:c r="K113" s="3"/>
      <x:c r="L113" s="3"/>
      <x:c r="M113" s="1"/>
      <x:c r="N113" s="1"/>
      <x:c r="O113" s="1"/>
      <x:c r="P113" s="1"/>
      <x:c r="Q113" s="1"/>
      <x:c r="R113" s="2"/>
    </x:row>
    <x:row r="114" ht="6" customHeight="1">
      <x:c r="A114" s="1"/>
      <x:c r="B114" s="3"/>
      <x:c r="C114" s="1"/>
      <x:c r="D114" s="3"/>
      <x:c r="E114" s="1"/>
      <x:c r="F114" s="141"/>
      <x:c r="G114" s="1"/>
      <x:c r="H114" s="1"/>
      <x:c r="I114" s="1"/>
      <x:c r="J114" s="1"/>
      <x:c r="K114" s="3"/>
      <x:c r="L114" s="3"/>
      <x:c r="M114" s="1"/>
      <x:c r="N114" s="1"/>
      <x:c r="O114" s="1"/>
      <x:c r="P114" s="1"/>
      <x:c r="Q114" s="1"/>
      <x:c r="R114" s="2"/>
    </x:row>
    <x:row r="115" ht="6" customHeight="1">
      <x:c r="A115" s="1"/>
      <x:c r="B115" s="3"/>
      <x:c r="C115" s="1"/>
      <x:c r="D115" s="3"/>
      <x:c r="E115" s="1"/>
      <x:c r="F115" s="141"/>
      <x:c r="G115" s="1"/>
      <x:c r="H115" s="1"/>
      <x:c r="I115" s="1"/>
      <x:c r="J115" s="1"/>
      <x:c r="K115" s="3"/>
      <x:c r="L115" s="3"/>
      <x:c r="M115" s="1"/>
      <x:c r="N115" s="1"/>
      <x:c r="O115" s="1"/>
      <x:c r="P115" s="1"/>
      <x:c r="Q115" s="1"/>
      <x:c r="R115" s="2"/>
    </x:row>
    <x:row r="116" ht="6" customHeight="1">
      <x:c r="A116" s="1"/>
      <x:c r="B116" s="3"/>
      <x:c r="C116" s="1"/>
      <x:c r="D116" s="3"/>
      <x:c r="E116" s="1"/>
      <x:c r="F116" s="141"/>
      <x:c r="G116" s="1"/>
      <x:c r="H116" s="1"/>
      <x:c r="I116" s="1"/>
      <x:c r="J116" s="1"/>
      <x:c r="K116" s="3"/>
      <x:c r="L116" s="3"/>
      <x:c r="M116" s="1"/>
      <x:c r="N116" s="1"/>
      <x:c r="O116" s="1"/>
      <x:c r="P116" s="1"/>
      <x:c r="Q116" s="1"/>
      <x:c r="R116" s="2"/>
    </x:row>
    <x:row r="117" ht="6" customHeight="1">
      <x:c r="A117" s="1"/>
      <x:c r="B117" s="3"/>
      <x:c r="C117" s="1"/>
      <x:c r="D117" s="3"/>
      <x:c r="E117" s="1"/>
      <x:c r="F117" s="141"/>
      <x:c r="G117" s="1"/>
      <x:c r="H117" s="1"/>
      <x:c r="I117" s="1"/>
      <x:c r="J117" s="1"/>
      <x:c r="K117" s="3"/>
      <x:c r="L117" s="3"/>
      <x:c r="M117" s="1"/>
      <x:c r="N117" s="1"/>
      <x:c r="O117" s="1"/>
      <x:c r="P117" s="1"/>
      <x:c r="Q117" s="1"/>
      <x:c r="R117" s="2"/>
    </x:row>
    <x:row r="118" ht="6" customHeight="1">
      <x:c r="A118" s="1"/>
      <x:c r="B118" s="3"/>
      <x:c r="C118" s="1"/>
      <x:c r="D118" s="3"/>
      <x:c r="E118" s="1"/>
      <x:c r="F118" s="141"/>
      <x:c r="G118" s="1"/>
      <x:c r="H118" s="1"/>
      <x:c r="I118" s="1"/>
      <x:c r="J118" s="1"/>
      <x:c r="K118" s="3"/>
      <x:c r="L118" s="3"/>
      <x:c r="M118" s="1"/>
      <x:c r="N118" s="1"/>
      <x:c r="O118" s="1"/>
      <x:c r="P118" s="1"/>
      <x:c r="Q118" s="1"/>
      <x:c r="R118" s="2"/>
    </x:row>
    <x:row r="119" ht="6" customHeight="1">
      <x:c r="A119" s="1"/>
      <x:c r="B119" s="3"/>
      <x:c r="C119" s="1"/>
      <x:c r="D119" s="3"/>
      <x:c r="E119" s="1"/>
      <x:c r="F119" s="141"/>
      <x:c r="G119" s="1"/>
      <x:c r="H119" s="1"/>
      <x:c r="I119" s="1"/>
      <x:c r="J119" s="1"/>
      <x:c r="K119" s="3"/>
      <x:c r="L119" s="3"/>
      <x:c r="M119" s="1"/>
      <x:c r="N119" s="1"/>
      <x:c r="O119" s="1"/>
      <x:c r="P119" s="1"/>
      <x:c r="Q119" s="1"/>
      <x:c r="R119" s="2"/>
    </x:row>
    <x:row r="120" ht="6" customHeight="1">
      <x:c r="A120" s="1"/>
      <x:c r="B120" s="3"/>
      <x:c r="C120" s="1"/>
      <x:c r="D120" s="3"/>
      <x:c r="E120" s="1"/>
      <x:c r="F120" s="141"/>
      <x:c r="G120" s="1"/>
      <x:c r="H120" s="1"/>
      <x:c r="I120" s="1"/>
      <x:c r="J120" s="1"/>
      <x:c r="K120" s="3"/>
      <x:c r="L120" s="3"/>
      <x:c r="M120" s="1"/>
      <x:c r="N120" s="1"/>
      <x:c r="O120" s="1"/>
      <x:c r="P120" s="1"/>
      <x:c r="Q120" s="1"/>
      <x:c r="R120" s="2"/>
    </x:row>
    <x:row r="121" ht="6" customHeight="1">
      <x:c r="A121" s="1"/>
      <x:c r="B121" s="3"/>
      <x:c r="C121" s="1"/>
      <x:c r="D121" s="3"/>
      <x:c r="E121" s="1"/>
      <x:c r="F121" s="141"/>
      <x:c r="G121" s="1"/>
      <x:c r="H121" s="1"/>
      <x:c r="I121" s="1"/>
      <x:c r="J121" s="1"/>
      <x:c r="K121" s="3"/>
      <x:c r="L121" s="3"/>
      <x:c r="M121" s="1"/>
      <x:c r="N121" s="1"/>
      <x:c r="O121" s="1"/>
      <x:c r="P121" s="1"/>
      <x:c r="Q121" s="1"/>
      <x:c r="R121" s="2"/>
    </x:row>
    <x:row r="122" ht="6" customHeight="1">
      <x:c r="A122" s="1"/>
      <x:c r="B122" s="3"/>
      <x:c r="C122" s="1"/>
      <x:c r="D122" s="3"/>
      <x:c r="E122" s="1"/>
      <x:c r="F122" s="141"/>
      <x:c r="G122" s="1"/>
      <x:c r="H122" s="1"/>
      <x:c r="I122" s="1"/>
      <x:c r="J122" s="1"/>
      <x:c r="K122" s="3"/>
      <x:c r="L122" s="3"/>
      <x:c r="M122" s="1"/>
      <x:c r="N122" s="1"/>
      <x:c r="O122" s="1"/>
      <x:c r="P122" s="1"/>
      <x:c r="Q122" s="1"/>
      <x:c r="R122" s="2"/>
    </x:row>
    <x:row r="123" ht="6" customHeight="1">
      <x:c r="A123" s="1"/>
      <x:c r="B123" s="3"/>
      <x:c r="C123" s="1"/>
      <x:c r="D123" s="3"/>
      <x:c r="E123" s="1"/>
      <x:c r="F123" s="141"/>
      <x:c r="G123" s="1"/>
      <x:c r="H123" s="1"/>
      <x:c r="I123" s="1"/>
      <x:c r="J123" s="1"/>
      <x:c r="K123" s="3"/>
      <x:c r="L123" s="3"/>
      <x:c r="M123" s="1"/>
      <x:c r="N123" s="1"/>
      <x:c r="O123" s="1"/>
      <x:c r="P123" s="1"/>
      <x:c r="Q123" s="1"/>
      <x:c r="R123" s="2"/>
    </x:row>
    <x:row r="124" ht="6" customHeight="1">
      <x:c r="A124" s="1"/>
      <x:c r="B124" s="3"/>
      <x:c r="C124" s="1"/>
      <x:c r="D124" s="3"/>
      <x:c r="E124" s="1"/>
      <x:c r="F124" s="141"/>
      <x:c r="G124" s="1"/>
      <x:c r="H124" s="1"/>
      <x:c r="I124" s="1"/>
      <x:c r="J124" s="1"/>
      <x:c r="K124" s="3"/>
      <x:c r="L124" s="3"/>
      <x:c r="M124" s="1"/>
      <x:c r="N124" s="1"/>
      <x:c r="O124" s="1"/>
      <x:c r="P124" s="1"/>
      <x:c r="Q124" s="1"/>
      <x:c r="R124" s="2"/>
    </x:row>
    <x:row r="125" ht="6" customHeight="1">
      <x:c r="A125" s="1"/>
      <x:c r="B125" s="3"/>
      <x:c r="C125" s="1"/>
      <x:c r="D125" s="3"/>
      <x:c r="E125" s="1"/>
      <x:c r="F125" s="141"/>
      <x:c r="G125" s="1"/>
      <x:c r="H125" s="1"/>
      <x:c r="I125" s="1"/>
      <x:c r="J125" s="1"/>
      <x:c r="K125" s="3"/>
      <x:c r="L125" s="3"/>
      <x:c r="M125" s="1"/>
      <x:c r="N125" s="1"/>
      <x:c r="O125" s="1"/>
      <x:c r="P125" s="1"/>
      <x:c r="Q125" s="1"/>
      <x:c r="R125" s="2"/>
    </x:row>
    <x:row r="126" ht="6" customHeight="1">
      <x:c r="A126" s="1"/>
      <x:c r="B126" s="3"/>
      <x:c r="C126" s="1"/>
      <x:c r="D126" s="3"/>
      <x:c r="E126" s="1"/>
      <x:c r="F126" s="141"/>
      <x:c r="G126" s="1"/>
      <x:c r="H126" s="1"/>
      <x:c r="I126" s="1"/>
      <x:c r="J126" s="1"/>
      <x:c r="K126" s="3"/>
      <x:c r="L126" s="3"/>
      <x:c r="M126" s="1"/>
      <x:c r="N126" s="1"/>
      <x:c r="O126" s="1"/>
      <x:c r="P126" s="1"/>
      <x:c r="Q126" s="1"/>
      <x:c r="R126" s="2"/>
    </x:row>
    <x:row r="127" ht="6" customHeight="1">
      <x:c r="A127" s="1"/>
      <x:c r="B127" s="3"/>
      <x:c r="C127" s="1"/>
      <x:c r="D127" s="3"/>
      <x:c r="E127" s="1"/>
      <x:c r="F127" s="141"/>
      <x:c r="G127" s="1"/>
      <x:c r="H127" s="1"/>
      <x:c r="I127" s="1"/>
      <x:c r="J127" s="1"/>
      <x:c r="K127" s="3"/>
      <x:c r="L127" s="3"/>
      <x:c r="M127" s="1"/>
      <x:c r="N127" s="1"/>
      <x:c r="O127" s="1"/>
      <x:c r="P127" s="1"/>
      <x:c r="Q127" s="1"/>
      <x:c r="R127" s="2"/>
    </x:row>
    <x:row r="128" ht="6" customHeight="1">
      <x:c r="A128" s="1"/>
      <x:c r="B128" s="3"/>
      <x:c r="C128" s="1"/>
      <x:c r="D128" s="3"/>
      <x:c r="E128" s="1"/>
      <x:c r="F128" s="141"/>
      <x:c r="G128" s="1"/>
      <x:c r="H128" s="1"/>
      <x:c r="I128" s="1"/>
      <x:c r="J128" s="1"/>
      <x:c r="K128" s="3"/>
      <x:c r="L128" s="3"/>
      <x:c r="M128" s="1"/>
      <x:c r="N128" s="1"/>
      <x:c r="O128" s="1"/>
      <x:c r="P128" s="1"/>
      <x:c r="Q128" s="1"/>
      <x:c r="R128" s="2"/>
    </x:row>
    <x:row r="129" ht="6" customHeight="1">
      <x:c r="A129" s="1"/>
      <x:c r="B129" s="3"/>
      <x:c r="C129" s="1"/>
      <x:c r="D129" s="3"/>
      <x:c r="E129" s="1"/>
      <x:c r="F129" s="141"/>
      <x:c r="G129" s="1"/>
      <x:c r="H129" s="1"/>
      <x:c r="I129" s="1"/>
      <x:c r="J129" s="1"/>
      <x:c r="K129" s="3"/>
      <x:c r="L129" s="3"/>
      <x:c r="M129" s="1"/>
      <x:c r="N129" s="1"/>
      <x:c r="O129" s="1"/>
      <x:c r="P129" s="1"/>
      <x:c r="Q129" s="1"/>
      <x:c r="R129" s="2"/>
    </x:row>
    <x:row r="130" ht="6" customHeight="1">
      <x:c r="A130" s="1"/>
      <x:c r="B130" s="3"/>
      <x:c r="C130" s="1"/>
      <x:c r="D130" s="3"/>
      <x:c r="E130" s="1"/>
      <x:c r="F130" s="141"/>
      <x:c r="G130" s="1"/>
      <x:c r="H130" s="1"/>
      <x:c r="I130" s="1"/>
      <x:c r="J130" s="1"/>
      <x:c r="K130" s="3"/>
      <x:c r="L130" s="3"/>
      <x:c r="M130" s="1"/>
      <x:c r="N130" s="1"/>
      <x:c r="O130" s="1"/>
      <x:c r="P130" s="1"/>
      <x:c r="Q130" s="1"/>
      <x:c r="R130" s="2"/>
    </x:row>
    <x:row r="131" ht="6" customHeight="1">
      <x:c r="A131" s="1"/>
      <x:c r="B131" s="3"/>
      <x:c r="C131" s="1"/>
      <x:c r="D131" s="3"/>
      <x:c r="E131" s="1"/>
      <x:c r="F131" s="141"/>
      <x:c r="G131" s="1"/>
      <x:c r="H131" s="1"/>
      <x:c r="I131" s="1"/>
      <x:c r="J131" s="1"/>
      <x:c r="K131" s="3"/>
      <x:c r="L131" s="3"/>
      <x:c r="M131" s="1"/>
      <x:c r="N131" s="1"/>
      <x:c r="O131" s="1"/>
      <x:c r="P131" s="1"/>
      <x:c r="Q131" s="1"/>
      <x:c r="R131" s="2"/>
    </x:row>
    <x:row r="132" ht="6" customHeight="1">
      <x:c r="A132" s="1"/>
      <x:c r="B132" s="3"/>
      <x:c r="C132" s="1"/>
      <x:c r="D132" s="3"/>
      <x:c r="E132" s="1"/>
      <x:c r="F132" s="141"/>
      <x:c r="G132" s="1"/>
      <x:c r="H132" s="1"/>
      <x:c r="I132" s="1"/>
      <x:c r="J132" s="1"/>
      <x:c r="K132" s="3"/>
      <x:c r="L132" s="3"/>
      <x:c r="M132" s="1"/>
      <x:c r="N132" s="1"/>
      <x:c r="O132" s="1"/>
      <x:c r="P132" s="1"/>
      <x:c r="Q132" s="1"/>
      <x:c r="R132" s="2"/>
    </x:row>
    <x:row r="133" ht="6" customHeight="1">
      <x:c r="A133" s="1"/>
      <x:c r="B133" s="3"/>
      <x:c r="C133" s="1"/>
      <x:c r="D133" s="3"/>
      <x:c r="E133" s="1"/>
      <x:c r="F133" s="141"/>
      <x:c r="G133" s="1"/>
      <x:c r="H133" s="1"/>
      <x:c r="I133" s="1"/>
      <x:c r="J133" s="1"/>
      <x:c r="K133" s="3"/>
      <x:c r="L133" s="3"/>
      <x:c r="M133" s="1"/>
      <x:c r="N133" s="1"/>
      <x:c r="O133" s="1"/>
      <x:c r="P133" s="1"/>
      <x:c r="Q133" s="1"/>
      <x:c r="R133" s="2"/>
    </x:row>
    <x:row r="134" ht="6" customHeight="1">
      <x:c r="A134" s="1"/>
      <x:c r="B134" s="3"/>
      <x:c r="C134" s="1"/>
      <x:c r="D134" s="3"/>
      <x:c r="E134" s="1"/>
      <x:c r="F134" s="141"/>
      <x:c r="G134" s="1"/>
      <x:c r="H134" s="1"/>
      <x:c r="I134" s="1"/>
      <x:c r="J134" s="1"/>
      <x:c r="K134" s="3"/>
      <x:c r="L134" s="3"/>
      <x:c r="M134" s="1"/>
      <x:c r="N134" s="1"/>
      <x:c r="O134" s="1"/>
      <x:c r="P134" s="1"/>
      <x:c r="Q134" s="1"/>
      <x:c r="R134" s="2"/>
    </x:row>
    <x:row r="135" ht="6" customHeight="1">
      <x:c r="A135" s="1"/>
      <x:c r="B135" s="3"/>
      <x:c r="C135" s="1"/>
      <x:c r="D135" s="3"/>
      <x:c r="E135" s="1"/>
      <x:c r="F135" s="141"/>
      <x:c r="G135" s="1"/>
      <x:c r="H135" s="1"/>
      <x:c r="I135" s="1"/>
      <x:c r="J135" s="1"/>
      <x:c r="K135" s="3"/>
      <x:c r="L135" s="3"/>
      <x:c r="M135" s="1"/>
      <x:c r="N135" s="1"/>
      <x:c r="O135" s="1"/>
      <x:c r="P135" s="1"/>
      <x:c r="Q135" s="1"/>
      <x:c r="R135" s="2"/>
    </x:row>
    <x:row r="136" ht="6" customHeight="1">
      <x:c r="A136" s="1"/>
      <x:c r="B136" s="3"/>
      <x:c r="C136" s="1"/>
      <x:c r="D136" s="3"/>
      <x:c r="E136" s="1"/>
      <x:c r="F136" s="141"/>
      <x:c r="G136" s="1"/>
      <x:c r="H136" s="1"/>
      <x:c r="I136" s="1"/>
      <x:c r="J136" s="1"/>
      <x:c r="K136" s="3"/>
      <x:c r="L136" s="3"/>
      <x:c r="M136" s="1"/>
      <x:c r="N136" s="1"/>
      <x:c r="O136" s="1"/>
      <x:c r="P136" s="1"/>
      <x:c r="Q136" s="1"/>
      <x:c r="R136" s="2"/>
    </x:row>
    <x:row r="137" ht="6" customHeight="1">
      <x:c r="A137" s="1"/>
      <x:c r="B137" s="3"/>
      <x:c r="C137" s="1"/>
      <x:c r="D137" s="3"/>
      <x:c r="E137" s="1"/>
      <x:c r="F137" s="141"/>
      <x:c r="G137" s="1"/>
      <x:c r="H137" s="1"/>
      <x:c r="I137" s="1"/>
      <x:c r="J137" s="1"/>
      <x:c r="K137" s="3"/>
      <x:c r="L137" s="3"/>
      <x:c r="M137" s="1"/>
      <x:c r="N137" s="1"/>
      <x:c r="O137" s="1"/>
      <x:c r="P137" s="1"/>
      <x:c r="Q137" s="1"/>
      <x:c r="R137" s="2"/>
    </x:row>
    <x:row r="138" ht="6" customHeight="1">
      <x:c r="A138" s="1"/>
      <x:c r="B138" s="3"/>
      <x:c r="C138" s="1"/>
      <x:c r="D138" s="3"/>
      <x:c r="E138" s="1"/>
      <x:c r="F138" s="141"/>
      <x:c r="G138" s="1"/>
      <x:c r="H138" s="1"/>
      <x:c r="I138" s="1"/>
      <x:c r="J138" s="1"/>
      <x:c r="K138" s="3"/>
      <x:c r="L138" s="3"/>
      <x:c r="M138" s="1"/>
      <x:c r="N138" s="1"/>
      <x:c r="O138" s="1"/>
      <x:c r="P138" s="1"/>
      <x:c r="Q138" s="1"/>
      <x:c r="R138" s="2"/>
    </x:row>
    <x:row r="139" ht="6" customHeight="1">
      <x:c r="A139" s="1"/>
      <x:c r="B139" s="3"/>
      <x:c r="C139" s="1"/>
      <x:c r="D139" s="3"/>
      <x:c r="E139" s="1"/>
      <x:c r="F139" s="141"/>
      <x:c r="G139" s="1"/>
      <x:c r="H139" s="1"/>
      <x:c r="I139" s="1"/>
      <x:c r="J139" s="1"/>
      <x:c r="K139" s="3"/>
      <x:c r="L139" s="3"/>
      <x:c r="M139" s="1"/>
      <x:c r="N139" s="1"/>
      <x:c r="O139" s="1"/>
      <x:c r="P139" s="1"/>
      <x:c r="Q139" s="1"/>
      <x:c r="R139" s="2"/>
    </x:row>
    <x:row r="140" ht="6" customHeight="1">
      <x:c r="A140" s="1"/>
      <x:c r="B140" s="3"/>
      <x:c r="C140" s="1"/>
      <x:c r="D140" s="3"/>
      <x:c r="E140" s="1"/>
      <x:c r="F140" s="141"/>
      <x:c r="G140" s="1"/>
      <x:c r="H140" s="1"/>
      <x:c r="I140" s="1"/>
      <x:c r="J140" s="1"/>
      <x:c r="K140" s="3"/>
      <x:c r="L140" s="3"/>
      <x:c r="M140" s="1"/>
      <x:c r="N140" s="1"/>
      <x:c r="O140" s="1"/>
      <x:c r="P140" s="1"/>
      <x:c r="Q140" s="1"/>
      <x:c r="R140" s="2"/>
    </x:row>
    <x:row r="141" ht="6" customHeight="1">
      <x:c r="A141" s="1"/>
      <x:c r="B141" s="3"/>
      <x:c r="C141" s="1"/>
      <x:c r="D141" s="3"/>
      <x:c r="E141" s="1"/>
      <x:c r="F141" s="141"/>
      <x:c r="G141" s="1"/>
      <x:c r="H141" s="1"/>
      <x:c r="I141" s="1"/>
      <x:c r="J141" s="1"/>
      <x:c r="K141" s="3"/>
      <x:c r="L141" s="3"/>
      <x:c r="M141" s="1"/>
      <x:c r="N141" s="1"/>
      <x:c r="O141" s="1"/>
      <x:c r="P141" s="1"/>
      <x:c r="Q141" s="1"/>
      <x:c r="R141" s="2"/>
    </x:row>
    <x:row r="142" ht="6" customHeight="1">
      <x:c r="A142" s="1"/>
      <x:c r="B142" s="3"/>
      <x:c r="C142" s="1"/>
      <x:c r="D142" s="3"/>
      <x:c r="E142" s="1"/>
      <x:c r="F142" s="141"/>
      <x:c r="G142" s="1"/>
      <x:c r="H142" s="1"/>
      <x:c r="I142" s="1"/>
      <x:c r="J142" s="1"/>
      <x:c r="K142" s="3"/>
      <x:c r="L142" s="3"/>
      <x:c r="M142" s="1"/>
      <x:c r="N142" s="1"/>
      <x:c r="O142" s="1"/>
      <x:c r="P142" s="1"/>
      <x:c r="Q142" s="1"/>
      <x:c r="R142" s="2"/>
    </x:row>
    <x:row r="143" ht="6" customHeight="1">
      <x:c r="A143" s="1"/>
      <x:c r="B143" s="3"/>
      <x:c r="C143" s="1"/>
      <x:c r="D143" s="3"/>
      <x:c r="E143" s="1"/>
      <x:c r="F143" s="141"/>
      <x:c r="G143" s="1"/>
      <x:c r="H143" s="1"/>
      <x:c r="I143" s="1"/>
      <x:c r="J143" s="1"/>
      <x:c r="K143" s="3"/>
      <x:c r="L143" s="3"/>
      <x:c r="M143" s="1"/>
      <x:c r="N143" s="1"/>
      <x:c r="O143" s="1"/>
      <x:c r="P143" s="1"/>
      <x:c r="Q143" s="1"/>
      <x:c r="R143" s="2"/>
    </x:row>
    <x:row r="144" ht="6" customHeight="1">
      <x:c r="A144" s="1"/>
      <x:c r="B144" s="3"/>
      <x:c r="C144" s="1"/>
      <x:c r="D144" s="3"/>
      <x:c r="E144" s="1"/>
      <x:c r="F144" s="141"/>
      <x:c r="G144" s="1"/>
      <x:c r="H144" s="1"/>
      <x:c r="I144" s="1"/>
      <x:c r="J144" s="1"/>
      <x:c r="K144" s="3"/>
      <x:c r="L144" s="3"/>
      <x:c r="M144" s="1"/>
      <x:c r="N144" s="1"/>
      <x:c r="O144" s="1"/>
      <x:c r="P144" s="1"/>
      <x:c r="Q144" s="1"/>
      <x:c r="R144" s="2"/>
    </x:row>
    <x:row r="145" ht="6" customHeight="1">
      <x:c r="A145" s="1"/>
      <x:c r="B145" s="3"/>
      <x:c r="C145" s="1"/>
      <x:c r="D145" s="3"/>
      <x:c r="E145" s="1"/>
      <x:c r="F145" s="141"/>
      <x:c r="G145" s="1"/>
      <x:c r="H145" s="1"/>
      <x:c r="I145" s="1"/>
      <x:c r="J145" s="1"/>
      <x:c r="K145" s="3"/>
      <x:c r="L145" s="3"/>
      <x:c r="M145" s="1"/>
      <x:c r="N145" s="1"/>
      <x:c r="O145" s="1"/>
      <x:c r="P145" s="1"/>
      <x:c r="Q145" s="1"/>
      <x:c r="R145" s="2"/>
    </x:row>
    <x:row r="146" ht="6" customHeight="1">
      <x:c r="A146" s="1"/>
      <x:c r="B146" s="3"/>
      <x:c r="C146" s="1"/>
      <x:c r="D146" s="3"/>
      <x:c r="E146" s="1"/>
      <x:c r="F146" s="141"/>
      <x:c r="G146" s="1"/>
      <x:c r="H146" s="1"/>
      <x:c r="I146" s="1"/>
      <x:c r="J146" s="1"/>
      <x:c r="K146" s="3"/>
      <x:c r="L146" s="3"/>
      <x:c r="M146" s="1"/>
      <x:c r="N146" s="1"/>
      <x:c r="O146" s="1"/>
      <x:c r="P146" s="1"/>
      <x:c r="Q146" s="1"/>
      <x:c r="R146" s="2"/>
    </x:row>
    <x:row r="147" ht="6" customHeight="1">
      <x:c r="A147" s="1"/>
      <x:c r="B147" s="3"/>
      <x:c r="C147" s="1"/>
      <x:c r="D147" s="3"/>
      <x:c r="E147" s="1"/>
      <x:c r="F147" s="141"/>
      <x:c r="G147" s="1"/>
      <x:c r="H147" s="1"/>
      <x:c r="I147" s="1"/>
      <x:c r="J147" s="1"/>
      <x:c r="K147" s="3"/>
      <x:c r="L147" s="3"/>
      <x:c r="M147" s="1"/>
      <x:c r="N147" s="1"/>
      <x:c r="O147" s="1"/>
      <x:c r="P147" s="1"/>
      <x:c r="Q147" s="1"/>
      <x:c r="R147" s="2"/>
    </x:row>
    <x:row r="148" ht="6" customHeight="1">
      <x:c r="A148" s="1"/>
      <x:c r="B148" s="3"/>
      <x:c r="C148" s="1"/>
      <x:c r="D148" s="3"/>
      <x:c r="E148" s="1"/>
      <x:c r="F148" s="141"/>
      <x:c r="G148" s="1"/>
      <x:c r="H148" s="1"/>
      <x:c r="I148" s="1"/>
      <x:c r="J148" s="1"/>
      <x:c r="K148" s="3"/>
      <x:c r="L148" s="3"/>
      <x:c r="M148" s="1"/>
      <x:c r="N148" s="1"/>
      <x:c r="O148" s="1"/>
      <x:c r="P148" s="1"/>
      <x:c r="Q148" s="1"/>
      <x:c r="R148" s="2"/>
    </x:row>
    <x:row r="149" ht="6" customHeight="1">
      <x:c r="A149" s="1"/>
      <x:c r="B149" s="3"/>
      <x:c r="C149" s="1"/>
      <x:c r="D149" s="3"/>
      <x:c r="E149" s="1"/>
      <x:c r="F149" s="141"/>
      <x:c r="G149" s="1"/>
      <x:c r="H149" s="1"/>
      <x:c r="I149" s="1"/>
      <x:c r="J149" s="1"/>
      <x:c r="K149" s="3"/>
      <x:c r="L149" s="3"/>
      <x:c r="M149" s="1"/>
      <x:c r="N149" s="1"/>
      <x:c r="O149" s="1"/>
      <x:c r="P149" s="1"/>
      <x:c r="Q149" s="1"/>
      <x:c r="R149" s="2"/>
    </x:row>
    <x:row r="150" ht="6" customHeight="1">
      <x:c r="A150" s="1"/>
      <x:c r="B150" s="3"/>
      <x:c r="C150" s="1"/>
      <x:c r="D150" s="3"/>
      <x:c r="E150" s="1"/>
      <x:c r="F150" s="141"/>
      <x:c r="G150" s="1"/>
      <x:c r="H150" s="1"/>
      <x:c r="I150" s="1"/>
      <x:c r="J150" s="1"/>
      <x:c r="K150" s="3"/>
      <x:c r="L150" s="3"/>
      <x:c r="M150" s="1"/>
      <x:c r="N150" s="1"/>
      <x:c r="O150" s="1"/>
      <x:c r="P150" s="1"/>
      <x:c r="Q150" s="1"/>
      <x:c r="R150" s="2"/>
    </x:row>
    <x:row r="151" ht="6" customHeight="1">
      <x:c r="A151" s="1"/>
      <x:c r="B151" s="3"/>
      <x:c r="C151" s="1"/>
      <x:c r="D151" s="3"/>
      <x:c r="E151" s="1"/>
      <x:c r="F151" s="141"/>
      <x:c r="G151" s="1"/>
      <x:c r="H151" s="1"/>
      <x:c r="I151" s="1"/>
      <x:c r="J151" s="1"/>
      <x:c r="K151" s="3"/>
      <x:c r="L151" s="3"/>
      <x:c r="M151" s="1"/>
      <x:c r="N151" s="1"/>
      <x:c r="O151" s="1"/>
      <x:c r="P151" s="1"/>
      <x:c r="Q151" s="1"/>
      <x:c r="R151" s="2"/>
    </x:row>
    <x:row r="152" ht="6" customHeight="1">
      <x:c r="A152" s="1"/>
      <x:c r="B152" s="3"/>
      <x:c r="C152" s="1"/>
      <x:c r="D152" s="3"/>
      <x:c r="E152" s="1"/>
      <x:c r="F152" s="141"/>
      <x:c r="G152" s="1"/>
      <x:c r="H152" s="1"/>
      <x:c r="I152" s="1"/>
      <x:c r="J152" s="1"/>
      <x:c r="K152" s="3"/>
      <x:c r="L152" s="3"/>
      <x:c r="M152" s="1"/>
      <x:c r="N152" s="1"/>
      <x:c r="O152" s="1"/>
      <x:c r="P152" s="1"/>
      <x:c r="Q152" s="1"/>
      <x:c r="R152" s="2"/>
    </x:row>
    <x:row r="153" ht="6" customHeight="1">
      <x:c r="A153" s="1"/>
      <x:c r="B153" s="3"/>
      <x:c r="C153" s="1"/>
      <x:c r="D153" s="3"/>
      <x:c r="E153" s="1"/>
      <x:c r="F153" s="141"/>
      <x:c r="G153" s="1"/>
      <x:c r="H153" s="1"/>
      <x:c r="I153" s="1"/>
      <x:c r="J153" s="1"/>
      <x:c r="K153" s="3"/>
      <x:c r="L153" s="3"/>
      <x:c r="M153" s="1"/>
      <x:c r="N153" s="1"/>
      <x:c r="O153" s="1"/>
      <x:c r="P153" s="1"/>
      <x:c r="Q153" s="1"/>
      <x:c r="R153" s="2"/>
    </x:row>
    <x:row r="154" ht="6" customHeight="1">
      <x:c r="A154" s="1"/>
      <x:c r="B154" s="3"/>
      <x:c r="C154" s="1"/>
      <x:c r="D154" s="3"/>
      <x:c r="E154" s="1"/>
      <x:c r="F154" s="141"/>
      <x:c r="G154" s="1"/>
      <x:c r="H154" s="1"/>
      <x:c r="I154" s="1"/>
      <x:c r="J154" s="1"/>
      <x:c r="K154" s="3"/>
      <x:c r="L154" s="3"/>
      <x:c r="M154" s="1"/>
      <x:c r="N154" s="1"/>
      <x:c r="O154" s="1"/>
      <x:c r="P154" s="1"/>
      <x:c r="Q154" s="1"/>
      <x:c r="R154" s="2"/>
    </x:row>
    <x:row r="155" ht="6" customHeight="1">
      <x:c r="A155" s="1"/>
      <x:c r="B155" s="3"/>
      <x:c r="C155" s="1"/>
      <x:c r="D155" s="3"/>
      <x:c r="E155" s="1"/>
      <x:c r="F155" s="141"/>
      <x:c r="G155" s="1"/>
      <x:c r="H155" s="1"/>
      <x:c r="I155" s="1"/>
      <x:c r="J155" s="1"/>
      <x:c r="K155" s="3"/>
      <x:c r="L155" s="3"/>
      <x:c r="M155" s="1"/>
      <x:c r="N155" s="1"/>
      <x:c r="O155" s="1"/>
      <x:c r="P155" s="1"/>
      <x:c r="Q155" s="1"/>
      <x:c r="R155" s="2"/>
    </x:row>
    <x:row r="156" ht="6" customHeight="1">
      <x:c r="A156" s="1"/>
      <x:c r="B156" s="3"/>
      <x:c r="C156" s="1"/>
      <x:c r="D156" s="3"/>
      <x:c r="E156" s="1"/>
      <x:c r="F156" s="141"/>
      <x:c r="G156" s="1"/>
      <x:c r="H156" s="1"/>
      <x:c r="I156" s="1"/>
      <x:c r="J156" s="1"/>
      <x:c r="K156" s="3"/>
      <x:c r="L156" s="3"/>
      <x:c r="M156" s="1"/>
      <x:c r="N156" s="1"/>
      <x:c r="O156" s="1"/>
      <x:c r="P156" s="1"/>
      <x:c r="Q156" s="1"/>
      <x:c r="R156" s="2"/>
    </x:row>
    <x:row r="157" ht="6" customHeight="1">
      <x:c r="A157" s="1"/>
      <x:c r="B157" s="3"/>
      <x:c r="C157" s="1"/>
      <x:c r="D157" s="3"/>
      <x:c r="E157" s="1"/>
      <x:c r="F157" s="141"/>
      <x:c r="G157" s="1"/>
      <x:c r="H157" s="1"/>
      <x:c r="I157" s="1"/>
      <x:c r="J157" s="1"/>
      <x:c r="K157" s="3"/>
      <x:c r="L157" s="3"/>
      <x:c r="M157" s="1"/>
      <x:c r="N157" s="1"/>
      <x:c r="O157" s="1"/>
      <x:c r="P157" s="1"/>
      <x:c r="Q157" s="1"/>
      <x:c r="R157" s="2"/>
    </x:row>
    <x:row r="158" ht="6" customHeight="1">
      <x:c r="A158" s="1"/>
      <x:c r="B158" s="3"/>
      <x:c r="C158" s="1"/>
      <x:c r="D158" s="3"/>
      <x:c r="E158" s="1"/>
      <x:c r="F158" s="141"/>
      <x:c r="G158" s="1"/>
      <x:c r="H158" s="1"/>
      <x:c r="I158" s="1"/>
      <x:c r="J158" s="1"/>
      <x:c r="K158" s="3"/>
      <x:c r="L158" s="3"/>
      <x:c r="M158" s="1"/>
      <x:c r="N158" s="1"/>
      <x:c r="O158" s="1"/>
      <x:c r="P158" s="1"/>
      <x:c r="Q158" s="1"/>
      <x:c r="R158" s="2"/>
    </x:row>
    <x:row r="159" ht="6" customHeight="1">
      <x:c r="A159" s="1"/>
      <x:c r="B159" s="3"/>
      <x:c r="C159" s="1"/>
      <x:c r="D159" s="3"/>
      <x:c r="E159" s="1"/>
      <x:c r="F159" s="141"/>
      <x:c r="G159" s="1"/>
      <x:c r="H159" s="1"/>
      <x:c r="I159" s="1"/>
      <x:c r="J159" s="1"/>
      <x:c r="K159" s="3"/>
      <x:c r="L159" s="3"/>
      <x:c r="M159" s="1"/>
      <x:c r="N159" s="1"/>
      <x:c r="O159" s="1"/>
      <x:c r="P159" s="1"/>
      <x:c r="Q159" s="1"/>
      <x:c r="R159" s="2"/>
    </x:row>
    <x:row r="160" ht="6" customHeight="1">
      <x:c r="A160" s="1"/>
      <x:c r="B160" s="3"/>
      <x:c r="C160" s="1"/>
      <x:c r="D160" s="3"/>
      <x:c r="E160" s="1"/>
      <x:c r="F160" s="141"/>
      <x:c r="G160" s="1"/>
      <x:c r="H160" s="1"/>
      <x:c r="I160" s="1"/>
      <x:c r="J160" s="1"/>
      <x:c r="K160" s="3"/>
      <x:c r="L160" s="3"/>
      <x:c r="M160" s="1"/>
      <x:c r="N160" s="1"/>
      <x:c r="O160" s="1"/>
      <x:c r="P160" s="1"/>
      <x:c r="Q160" s="1"/>
      <x:c r="R160" s="2"/>
    </x:row>
    <x:row r="161" ht="6" customHeight="1">
      <x:c r="A161" s="1"/>
      <x:c r="B161" s="3"/>
      <x:c r="C161" s="1"/>
      <x:c r="D161" s="3"/>
      <x:c r="E161" s="1"/>
      <x:c r="F161" s="141"/>
      <x:c r="G161" s="1"/>
      <x:c r="H161" s="1"/>
      <x:c r="I161" s="1"/>
      <x:c r="J161" s="1"/>
      <x:c r="K161" s="3"/>
      <x:c r="L161" s="3"/>
      <x:c r="M161" s="1"/>
      <x:c r="N161" s="1"/>
      <x:c r="O161" s="1"/>
      <x:c r="P161" s="1"/>
      <x:c r="Q161" s="1"/>
      <x:c r="R161" s="2"/>
    </x:row>
    <x:row r="162" ht="6" customHeight="1">
      <x:c r="A162" s="1"/>
      <x:c r="B162" s="3"/>
      <x:c r="C162" s="1"/>
      <x:c r="D162" s="3"/>
      <x:c r="E162" s="1"/>
      <x:c r="F162" s="141"/>
      <x:c r="G162" s="1"/>
      <x:c r="H162" s="1"/>
      <x:c r="I162" s="1"/>
      <x:c r="J162" s="1"/>
      <x:c r="K162" s="3"/>
      <x:c r="L162" s="3"/>
      <x:c r="M162" s="1"/>
      <x:c r="N162" s="1"/>
      <x:c r="O162" s="1"/>
      <x:c r="P162" s="1"/>
      <x:c r="Q162" s="1"/>
      <x:c r="R162" s="2"/>
    </x:row>
    <x:row r="163" ht="6" customHeight="1">
      <x:c r="A163" s="1"/>
      <x:c r="B163" s="3"/>
      <x:c r="C163" s="1"/>
      <x:c r="D163" s="3"/>
      <x:c r="E163" s="1"/>
      <x:c r="F163" s="141"/>
      <x:c r="G163" s="1"/>
      <x:c r="H163" s="1"/>
      <x:c r="I163" s="1"/>
      <x:c r="J163" s="1"/>
      <x:c r="K163" s="3"/>
      <x:c r="L163" s="3"/>
      <x:c r="M163" s="1"/>
      <x:c r="N163" s="1"/>
      <x:c r="O163" s="1"/>
      <x:c r="P163" s="1"/>
      <x:c r="Q163" s="1"/>
      <x:c r="R163" s="2"/>
    </x:row>
    <x:row r="164" ht="6" customHeight="1">
      <x:c r="A164" s="1"/>
      <x:c r="B164" s="3"/>
      <x:c r="C164" s="1"/>
      <x:c r="D164" s="3"/>
      <x:c r="E164" s="1"/>
      <x:c r="F164" s="141"/>
      <x:c r="G164" s="1"/>
      <x:c r="H164" s="1"/>
      <x:c r="I164" s="1"/>
      <x:c r="J164" s="1"/>
      <x:c r="K164" s="3"/>
      <x:c r="L164" s="3"/>
      <x:c r="M164" s="1"/>
      <x:c r="N164" s="1"/>
      <x:c r="O164" s="1"/>
      <x:c r="P164" s="1"/>
      <x:c r="Q164" s="1"/>
      <x:c r="R164" s="2"/>
    </x:row>
    <x:row r="165" ht="6" customHeight="1">
      <x:c r="A165" s="1"/>
      <x:c r="B165" s="3"/>
      <x:c r="C165" s="1"/>
      <x:c r="D165" s="3"/>
      <x:c r="E165" s="1"/>
      <x:c r="F165" s="141"/>
      <x:c r="G165" s="1"/>
      <x:c r="H165" s="1"/>
      <x:c r="I165" s="1"/>
      <x:c r="J165" s="1"/>
      <x:c r="K165" s="3"/>
      <x:c r="L165" s="3"/>
      <x:c r="M165" s="1"/>
      <x:c r="N165" s="1"/>
      <x:c r="O165" s="1"/>
      <x:c r="P165" s="1"/>
      <x:c r="Q165" s="1"/>
      <x:c r="R165" s="2"/>
    </x:row>
    <x:row r="166" ht="6" customHeight="1">
      <x:c r="A166" s="1"/>
      <x:c r="B166" s="3"/>
      <x:c r="C166" s="1"/>
      <x:c r="D166" s="3"/>
      <x:c r="E166" s="1"/>
      <x:c r="F166" s="141"/>
      <x:c r="G166" s="1"/>
      <x:c r="H166" s="1"/>
      <x:c r="I166" s="1"/>
      <x:c r="J166" s="1"/>
      <x:c r="K166" s="3"/>
      <x:c r="L166" s="3"/>
      <x:c r="M166" s="1"/>
      <x:c r="N166" s="1"/>
      <x:c r="O166" s="1"/>
      <x:c r="P166" s="1"/>
      <x:c r="Q166" s="1"/>
      <x:c r="R166" s="2"/>
    </x:row>
    <x:row r="167" ht="6" customHeight="1">
      <x:c r="A167" s="1"/>
      <x:c r="B167" s="3"/>
      <x:c r="C167" s="1"/>
      <x:c r="D167" s="3"/>
      <x:c r="E167" s="1"/>
      <x:c r="F167" s="141"/>
      <x:c r="G167" s="1"/>
      <x:c r="H167" s="1"/>
      <x:c r="I167" s="1"/>
      <x:c r="J167" s="1"/>
      <x:c r="K167" s="3"/>
      <x:c r="L167" s="3"/>
      <x:c r="M167" s="1"/>
      <x:c r="N167" s="1"/>
      <x:c r="O167" s="1"/>
      <x:c r="P167" s="1"/>
      <x:c r="Q167" s="1"/>
      <x:c r="R167" s="2"/>
    </x:row>
    <x:row r="168" ht="6" customHeight="1">
      <x:c r="A168" s="1"/>
      <x:c r="B168" s="3"/>
      <x:c r="C168" s="1"/>
      <x:c r="D168" s="3"/>
      <x:c r="E168" s="1"/>
      <x:c r="F168" s="141"/>
      <x:c r="G168" s="1"/>
      <x:c r="H168" s="1"/>
      <x:c r="I168" s="1"/>
      <x:c r="J168" s="1"/>
      <x:c r="K168" s="3"/>
      <x:c r="L168" s="3"/>
      <x:c r="M168" s="1"/>
      <x:c r="N168" s="1"/>
      <x:c r="O168" s="1"/>
      <x:c r="P168" s="1"/>
      <x:c r="Q168" s="1"/>
      <x:c r="R168" s="2"/>
    </x:row>
    <x:row r="169" ht="6" customHeight="1">
      <x:c r="A169" s="1"/>
      <x:c r="B169" s="3"/>
      <x:c r="C169" s="1"/>
      <x:c r="D169" s="3"/>
      <x:c r="E169" s="1"/>
      <x:c r="F169" s="141"/>
      <x:c r="G169" s="1"/>
      <x:c r="H169" s="1"/>
      <x:c r="I169" s="1"/>
      <x:c r="J169" s="1"/>
      <x:c r="K169" s="3"/>
      <x:c r="L169" s="3"/>
      <x:c r="M169" s="1"/>
      <x:c r="N169" s="1"/>
      <x:c r="O169" s="1"/>
      <x:c r="P169" s="1"/>
      <x:c r="Q169" s="1"/>
      <x:c r="R169" s="2"/>
    </x:row>
    <x:row r="170" ht="6" customHeight="1">
      <x:c r="A170" s="1"/>
      <x:c r="B170" s="3"/>
      <x:c r="C170" s="1"/>
      <x:c r="D170" s="3"/>
      <x:c r="E170" s="1"/>
      <x:c r="F170" s="141"/>
      <x:c r="G170" s="1"/>
      <x:c r="H170" s="1"/>
      <x:c r="I170" s="1"/>
      <x:c r="J170" s="1"/>
      <x:c r="K170" s="3"/>
      <x:c r="L170" s="3"/>
      <x:c r="M170" s="1"/>
      <x:c r="N170" s="1"/>
      <x:c r="O170" s="1"/>
      <x:c r="P170" s="1"/>
      <x:c r="Q170" s="1"/>
      <x:c r="R170" s="2"/>
    </x:row>
    <x:row r="171" ht="6" customHeight="1">
      <x:c r="A171" s="1"/>
      <x:c r="B171" s="3"/>
      <x:c r="C171" s="1"/>
      <x:c r="D171" s="3"/>
      <x:c r="E171" s="1"/>
      <x:c r="F171" s="141"/>
      <x:c r="G171" s="1"/>
      <x:c r="H171" s="1"/>
      <x:c r="I171" s="1"/>
      <x:c r="J171" s="1"/>
      <x:c r="K171" s="3"/>
      <x:c r="L171" s="3"/>
      <x:c r="M171" s="1"/>
      <x:c r="N171" s="1"/>
      <x:c r="O171" s="1"/>
      <x:c r="P171" s="1"/>
      <x:c r="Q171" s="1"/>
      <x:c r="R171" s="2"/>
    </x:row>
    <x:row r="172" ht="6" customHeight="1">
      <x:c r="A172" s="1"/>
      <x:c r="B172" s="3"/>
      <x:c r="C172" s="1"/>
      <x:c r="D172" s="3"/>
      <x:c r="E172" s="1"/>
      <x:c r="F172" s="141"/>
      <x:c r="G172" s="1"/>
      <x:c r="H172" s="1"/>
      <x:c r="I172" s="1"/>
      <x:c r="J172" s="1"/>
      <x:c r="K172" s="3"/>
      <x:c r="L172" s="3"/>
      <x:c r="M172" s="1"/>
      <x:c r="N172" s="1"/>
      <x:c r="O172" s="1"/>
      <x:c r="P172" s="1"/>
      <x:c r="Q172" s="1"/>
      <x:c r="R172" s="2"/>
    </x:row>
    <x:row r="173" ht="6" customHeight="1">
      <x:c r="A173" s="1"/>
      <x:c r="B173" s="3"/>
      <x:c r="C173" s="1"/>
      <x:c r="D173" s="3"/>
      <x:c r="E173" s="1"/>
      <x:c r="F173" s="141"/>
      <x:c r="G173" s="1"/>
      <x:c r="H173" s="1"/>
      <x:c r="I173" s="1"/>
      <x:c r="J173" s="1"/>
      <x:c r="K173" s="3"/>
      <x:c r="L173" s="3"/>
      <x:c r="M173" s="1"/>
      <x:c r="N173" s="1"/>
      <x:c r="O173" s="1"/>
      <x:c r="P173" s="1"/>
      <x:c r="Q173" s="1"/>
      <x:c r="R173" s="2"/>
    </x:row>
    <x:row r="174" ht="6" customHeight="1">
      <x:c r="A174" s="1"/>
      <x:c r="B174" s="3"/>
      <x:c r="C174" s="1"/>
      <x:c r="D174" s="3"/>
      <x:c r="E174" s="1"/>
      <x:c r="F174" s="141"/>
      <x:c r="G174" s="1"/>
      <x:c r="H174" s="1"/>
      <x:c r="I174" s="1"/>
      <x:c r="J174" s="1"/>
      <x:c r="K174" s="3"/>
      <x:c r="L174" s="3"/>
      <x:c r="M174" s="1"/>
      <x:c r="N174" s="1"/>
      <x:c r="O174" s="1"/>
      <x:c r="P174" s="1"/>
      <x:c r="Q174" s="1"/>
      <x:c r="R174" s="2"/>
    </x:row>
    <x:row r="175" ht="6" customHeight="1">
      <x:c r="A175" s="1"/>
      <x:c r="B175" s="3"/>
      <x:c r="C175" s="1"/>
      <x:c r="D175" s="3"/>
      <x:c r="E175" s="1"/>
      <x:c r="F175" s="141"/>
      <x:c r="G175" s="1"/>
      <x:c r="H175" s="1"/>
      <x:c r="I175" s="1"/>
      <x:c r="J175" s="1"/>
      <x:c r="K175" s="3"/>
      <x:c r="L175" s="3"/>
      <x:c r="M175" s="1"/>
      <x:c r="N175" s="1"/>
      <x:c r="O175" s="1"/>
      <x:c r="P175" s="1"/>
      <x:c r="Q175" s="1"/>
      <x:c r="R175" s="2"/>
    </x:row>
    <x:row r="176" ht="6" customHeight="1">
      <x:c r="A176" s="1"/>
      <x:c r="B176" s="3"/>
      <x:c r="C176" s="1"/>
      <x:c r="D176" s="3"/>
      <x:c r="E176" s="1"/>
      <x:c r="F176" s="141"/>
      <x:c r="G176" s="1"/>
      <x:c r="H176" s="1"/>
      <x:c r="I176" s="1"/>
      <x:c r="J176" s="1"/>
      <x:c r="K176" s="3"/>
      <x:c r="L176" s="3"/>
      <x:c r="M176" s="1"/>
      <x:c r="N176" s="1"/>
      <x:c r="O176" s="1"/>
      <x:c r="P176" s="1"/>
      <x:c r="Q176" s="1"/>
      <x:c r="R176" s="2"/>
    </x:row>
    <x:row r="177" ht="6" customHeight="1">
      <x:c r="A177" s="1"/>
      <x:c r="B177" s="3"/>
      <x:c r="C177" s="1"/>
      <x:c r="D177" s="3"/>
      <x:c r="E177" s="1"/>
      <x:c r="F177" s="141"/>
      <x:c r="G177" s="1"/>
      <x:c r="H177" s="1"/>
      <x:c r="I177" s="1"/>
      <x:c r="J177" s="1"/>
      <x:c r="K177" s="3"/>
      <x:c r="L177" s="3"/>
      <x:c r="M177" s="1"/>
      <x:c r="N177" s="1"/>
      <x:c r="O177" s="1"/>
      <x:c r="P177" s="1"/>
      <x:c r="Q177" s="1"/>
      <x:c r="R177" s="2"/>
    </x:row>
    <x:row r="178" ht="6" customHeight="1">
      <x:c r="A178" s="1"/>
      <x:c r="B178" s="3"/>
      <x:c r="C178" s="1"/>
      <x:c r="D178" s="3"/>
      <x:c r="E178" s="1"/>
      <x:c r="F178" s="141"/>
      <x:c r="G178" s="1"/>
      <x:c r="H178" s="1"/>
      <x:c r="I178" s="1"/>
      <x:c r="J178" s="1"/>
      <x:c r="K178" s="3"/>
      <x:c r="L178" s="3"/>
      <x:c r="M178" s="1"/>
      <x:c r="N178" s="1"/>
      <x:c r="O178" s="1"/>
      <x:c r="P178" s="1"/>
      <x:c r="Q178" s="1"/>
      <x:c r="R178" s="2"/>
    </x:row>
    <x:row r="179" ht="6" customHeight="1">
      <x:c r="A179" s="1"/>
      <x:c r="B179" s="3"/>
      <x:c r="C179" s="1"/>
      <x:c r="D179" s="3"/>
      <x:c r="E179" s="1"/>
      <x:c r="F179" s="141"/>
      <x:c r="G179" s="1"/>
      <x:c r="H179" s="1"/>
      <x:c r="I179" s="1"/>
      <x:c r="J179" s="1"/>
      <x:c r="K179" s="3"/>
      <x:c r="L179" s="3"/>
      <x:c r="M179" s="1"/>
      <x:c r="N179" s="1"/>
      <x:c r="O179" s="1"/>
      <x:c r="P179" s="1"/>
      <x:c r="Q179" s="1"/>
      <x:c r="R179" s="2"/>
    </x:row>
    <x:row r="180" ht="6" customHeight="1">
      <x:c r="A180" s="1"/>
      <x:c r="B180" s="3"/>
      <x:c r="C180" s="1"/>
      <x:c r="D180" s="3"/>
      <x:c r="E180" s="1"/>
      <x:c r="F180" s="141"/>
      <x:c r="G180" s="1"/>
      <x:c r="H180" s="1"/>
      <x:c r="I180" s="1"/>
      <x:c r="J180" s="1"/>
      <x:c r="K180" s="3"/>
      <x:c r="L180" s="3"/>
      <x:c r="M180" s="1"/>
      <x:c r="N180" s="1"/>
      <x:c r="O180" s="1"/>
      <x:c r="P180" s="1"/>
      <x:c r="Q180" s="1"/>
      <x:c r="R180" s="2"/>
    </x:row>
    <x:row r="181" ht="6" customHeight="1">
      <x:c r="A181" s="1"/>
      <x:c r="B181" s="3"/>
      <x:c r="C181" s="1"/>
      <x:c r="D181" s="3"/>
      <x:c r="E181" s="1"/>
      <x:c r="F181" s="141"/>
      <x:c r="G181" s="1"/>
      <x:c r="H181" s="1"/>
      <x:c r="I181" s="1"/>
      <x:c r="J181" s="1"/>
      <x:c r="K181" s="3"/>
      <x:c r="L181" s="3"/>
      <x:c r="M181" s="1"/>
      <x:c r="N181" s="1"/>
      <x:c r="O181" s="1"/>
      <x:c r="P181" s="1"/>
      <x:c r="Q181" s="1"/>
      <x:c r="R181" s="2"/>
    </x:row>
    <x:row r="182" ht="6" customHeight="1">
      <x:c r="A182" s="1"/>
      <x:c r="B182" s="3"/>
      <x:c r="C182" s="1"/>
      <x:c r="D182" s="3"/>
      <x:c r="E182" s="1"/>
      <x:c r="F182" s="141"/>
      <x:c r="G182" s="1"/>
      <x:c r="H182" s="1"/>
      <x:c r="I182" s="1"/>
      <x:c r="J182" s="1"/>
      <x:c r="K182" s="3"/>
      <x:c r="L182" s="3"/>
      <x:c r="M182" s="1"/>
      <x:c r="N182" s="1"/>
      <x:c r="O182" s="1"/>
      <x:c r="P182" s="1"/>
      <x:c r="Q182" s="1"/>
      <x:c r="R182" s="2"/>
    </x:row>
    <x:row r="183" ht="6" customHeight="1">
      <x:c r="A183" s="1"/>
      <x:c r="B183" s="3"/>
      <x:c r="C183" s="1"/>
      <x:c r="D183" s="3"/>
      <x:c r="E183" s="1"/>
      <x:c r="F183" s="141"/>
      <x:c r="G183" s="1"/>
      <x:c r="H183" s="1"/>
      <x:c r="I183" s="1"/>
      <x:c r="J183" s="1"/>
      <x:c r="K183" s="3"/>
      <x:c r="L183" s="3"/>
      <x:c r="M183" s="1"/>
      <x:c r="N183" s="1"/>
      <x:c r="O183" s="1"/>
      <x:c r="P183" s="1"/>
      <x:c r="Q183" s="1"/>
      <x:c r="R183" s="2"/>
    </x:row>
    <x:row r="184" ht="6" customHeight="1">
      <x:c r="A184" s="1"/>
      <x:c r="B184" s="3"/>
      <x:c r="C184" s="1"/>
      <x:c r="D184" s="3"/>
      <x:c r="E184" s="1"/>
      <x:c r="F184" s="141"/>
      <x:c r="G184" s="1"/>
      <x:c r="H184" s="1"/>
      <x:c r="I184" s="1"/>
      <x:c r="J184" s="1"/>
      <x:c r="K184" s="3"/>
      <x:c r="L184" s="3"/>
      <x:c r="M184" s="1"/>
      <x:c r="N184" s="1"/>
      <x:c r="O184" s="1"/>
      <x:c r="P184" s="1"/>
      <x:c r="Q184" s="1"/>
      <x:c r="R184" s="2"/>
    </x:row>
    <x:row r="185" ht="6" customHeight="1">
      <x:c r="A185" s="1"/>
      <x:c r="B185" s="3"/>
      <x:c r="C185" s="1"/>
      <x:c r="D185" s="3"/>
      <x:c r="E185" s="1"/>
      <x:c r="F185" s="141"/>
      <x:c r="G185" s="1"/>
      <x:c r="H185" s="1"/>
      <x:c r="I185" s="1"/>
      <x:c r="J185" s="1"/>
      <x:c r="K185" s="3"/>
      <x:c r="L185" s="3"/>
      <x:c r="M185" s="1"/>
      <x:c r="N185" s="1"/>
      <x:c r="O185" s="1"/>
      <x:c r="P185" s="1"/>
      <x:c r="Q185" s="1"/>
      <x:c r="R185" s="2"/>
    </x:row>
    <x:row r="186" ht="6" customHeight="1">
      <x:c r="A186" s="1"/>
      <x:c r="B186" s="3"/>
      <x:c r="C186" s="1"/>
      <x:c r="D186" s="3"/>
      <x:c r="E186" s="1"/>
      <x:c r="F186" s="141"/>
      <x:c r="G186" s="1"/>
      <x:c r="H186" s="1"/>
      <x:c r="I186" s="1"/>
      <x:c r="J186" s="1"/>
      <x:c r="K186" s="3"/>
      <x:c r="L186" s="3"/>
      <x:c r="M186" s="1"/>
      <x:c r="N186" s="1"/>
      <x:c r="O186" s="1"/>
      <x:c r="P186" s="1"/>
      <x:c r="Q186" s="1"/>
      <x:c r="R186" s="2"/>
    </x:row>
    <x:row r="187" ht="6" customHeight="1">
      <x:c r="A187" s="1"/>
      <x:c r="B187" s="3"/>
      <x:c r="C187" s="1"/>
      <x:c r="D187" s="3"/>
      <x:c r="E187" s="1"/>
      <x:c r="F187" s="141"/>
      <x:c r="G187" s="1"/>
      <x:c r="H187" s="1"/>
      <x:c r="I187" s="1"/>
      <x:c r="J187" s="1"/>
      <x:c r="K187" s="3"/>
      <x:c r="L187" s="3"/>
      <x:c r="M187" s="1"/>
      <x:c r="N187" s="1"/>
      <x:c r="O187" s="1"/>
      <x:c r="P187" s="1"/>
      <x:c r="Q187" s="1"/>
      <x:c r="R187" s="2"/>
    </x:row>
    <x:row r="188" ht="6" customHeight="1">
      <x:c r="A188" s="1"/>
      <x:c r="B188" s="3"/>
      <x:c r="C188" s="1"/>
      <x:c r="D188" s="3"/>
      <x:c r="E188" s="1"/>
      <x:c r="F188" s="141"/>
      <x:c r="G188" s="1"/>
      <x:c r="H188" s="1"/>
      <x:c r="I188" s="1"/>
      <x:c r="J188" s="1"/>
      <x:c r="K188" s="3"/>
      <x:c r="L188" s="3"/>
      <x:c r="M188" s="1"/>
      <x:c r="N188" s="1"/>
      <x:c r="O188" s="1"/>
      <x:c r="P188" s="1"/>
      <x:c r="Q188" s="1"/>
      <x:c r="R188" s="2"/>
    </x:row>
    <x:row r="189" ht="6" customHeight="1">
      <x:c r="A189" s="1"/>
      <x:c r="B189" s="3"/>
      <x:c r="C189" s="1"/>
      <x:c r="D189" s="3"/>
      <x:c r="E189" s="1"/>
      <x:c r="F189" s="141"/>
      <x:c r="G189" s="1"/>
      <x:c r="H189" s="1"/>
      <x:c r="I189" s="1"/>
      <x:c r="J189" s="1"/>
      <x:c r="K189" s="3"/>
      <x:c r="L189" s="3"/>
      <x:c r="M189" s="1"/>
      <x:c r="N189" s="1"/>
      <x:c r="O189" s="1"/>
      <x:c r="P189" s="1"/>
      <x:c r="Q189" s="1"/>
      <x:c r="R189" s="2"/>
    </x:row>
    <x:row r="190" ht="6" customHeight="1">
      <x:c r="A190" s="1"/>
      <x:c r="B190" s="3"/>
      <x:c r="C190" s="1"/>
      <x:c r="D190" s="3"/>
      <x:c r="E190" s="1"/>
      <x:c r="F190" s="141"/>
      <x:c r="G190" s="1"/>
      <x:c r="H190" s="1"/>
      <x:c r="I190" s="1"/>
      <x:c r="J190" s="1"/>
      <x:c r="K190" s="3"/>
      <x:c r="L190" s="3"/>
      <x:c r="M190" s="1"/>
      <x:c r="N190" s="1"/>
      <x:c r="O190" s="1"/>
      <x:c r="P190" s="1"/>
      <x:c r="Q190" s="1"/>
      <x:c r="R190" s="2"/>
    </x:row>
    <x:row r="191" ht="6" customHeight="1">
      <x:c r="A191" s="1"/>
      <x:c r="B191" s="3"/>
      <x:c r="C191" s="1"/>
      <x:c r="D191" s="3"/>
      <x:c r="E191" s="1"/>
      <x:c r="F191" s="141"/>
      <x:c r="G191" s="1"/>
      <x:c r="H191" s="1"/>
      <x:c r="I191" s="1"/>
      <x:c r="J191" s="1"/>
      <x:c r="K191" s="3"/>
      <x:c r="L191" s="3"/>
      <x:c r="M191" s="1"/>
      <x:c r="N191" s="1"/>
      <x:c r="O191" s="1"/>
      <x:c r="P191" s="1"/>
      <x:c r="Q191" s="1"/>
      <x:c r="R191" s="2"/>
    </x:row>
    <x:row r="192" ht="6" customHeight="1">
      <x:c r="A192" s="1"/>
      <x:c r="B192" s="3"/>
      <x:c r="C192" s="1"/>
      <x:c r="D192" s="3"/>
      <x:c r="E192" s="1"/>
      <x:c r="F192" s="141"/>
      <x:c r="G192" s="1"/>
      <x:c r="H192" s="1"/>
      <x:c r="I192" s="1"/>
      <x:c r="J192" s="1"/>
      <x:c r="K192" s="3"/>
      <x:c r="L192" s="3"/>
      <x:c r="M192" s="1"/>
      <x:c r="N192" s="1"/>
      <x:c r="O192" s="1"/>
      <x:c r="P192" s="1"/>
      <x:c r="Q192" s="1"/>
      <x:c r="R192" s="2"/>
    </x:row>
    <x:row r="193" ht="6" customHeight="1">
      <x:c r="A193" s="1"/>
      <x:c r="B193" s="3"/>
      <x:c r="C193" s="1"/>
      <x:c r="D193" s="3"/>
      <x:c r="E193" s="1"/>
      <x:c r="F193" s="141"/>
      <x:c r="G193" s="1"/>
      <x:c r="H193" s="1"/>
      <x:c r="I193" s="1"/>
      <x:c r="J193" s="1"/>
      <x:c r="K193" s="3"/>
      <x:c r="L193" s="3"/>
      <x:c r="M193" s="1"/>
      <x:c r="N193" s="1"/>
      <x:c r="O193" s="1"/>
      <x:c r="P193" s="1"/>
      <x:c r="Q193" s="1"/>
      <x:c r="R193" s="2"/>
    </x:row>
    <x:row r="194" ht="6" customHeight="1">
      <x:c r="A194" s="1"/>
      <x:c r="B194" s="3"/>
      <x:c r="C194" s="1"/>
      <x:c r="D194" s="3"/>
      <x:c r="E194" s="1"/>
      <x:c r="F194" s="141"/>
      <x:c r="G194" s="1"/>
      <x:c r="H194" s="1"/>
      <x:c r="I194" s="1"/>
      <x:c r="J194" s="1"/>
      <x:c r="K194" s="3"/>
      <x:c r="L194" s="3"/>
      <x:c r="M194" s="1"/>
      <x:c r="N194" s="1"/>
      <x:c r="O194" s="1"/>
      <x:c r="P194" s="1"/>
      <x:c r="Q194" s="1"/>
      <x:c r="R194" s="2"/>
    </x:row>
    <x:row r="195" ht="6" customHeight="1">
      <x:c r="A195" s="1"/>
      <x:c r="B195" s="3"/>
      <x:c r="C195" s="1"/>
      <x:c r="D195" s="3"/>
      <x:c r="E195" s="1"/>
      <x:c r="F195" s="141"/>
      <x:c r="G195" s="1"/>
      <x:c r="H195" s="1"/>
      <x:c r="I195" s="1"/>
      <x:c r="J195" s="1"/>
      <x:c r="K195" s="3"/>
      <x:c r="L195" s="3"/>
      <x:c r="M195" s="1"/>
      <x:c r="N195" s="1"/>
      <x:c r="O195" s="1"/>
      <x:c r="P195" s="1"/>
      <x:c r="Q195" s="1"/>
      <x:c r="R195" s="2"/>
    </x:row>
    <x:row r="196" ht="6" customHeight="1">
      <x:c r="A196" s="1"/>
      <x:c r="B196" s="3"/>
      <x:c r="C196" s="1"/>
      <x:c r="D196" s="3"/>
      <x:c r="E196" s="1"/>
      <x:c r="F196" s="141"/>
      <x:c r="G196" s="1"/>
      <x:c r="H196" s="1"/>
      <x:c r="I196" s="1"/>
      <x:c r="J196" s="1"/>
      <x:c r="K196" s="3"/>
      <x:c r="L196" s="3"/>
      <x:c r="M196" s="1"/>
      <x:c r="N196" s="1"/>
      <x:c r="O196" s="1"/>
      <x:c r="P196" s="1"/>
      <x:c r="Q196" s="1"/>
      <x:c r="R196" s="2"/>
    </x:row>
    <x:row r="197" ht="6" customHeight="1">
      <x:c r="A197" s="1"/>
      <x:c r="B197" s="3"/>
      <x:c r="C197" s="1"/>
      <x:c r="D197" s="3"/>
      <x:c r="E197" s="1"/>
      <x:c r="F197" s="141"/>
      <x:c r="G197" s="1"/>
      <x:c r="H197" s="1"/>
      <x:c r="I197" s="1"/>
      <x:c r="J197" s="1"/>
      <x:c r="K197" s="3"/>
      <x:c r="L197" s="3"/>
      <x:c r="M197" s="1"/>
      <x:c r="N197" s="1"/>
      <x:c r="O197" s="1"/>
      <x:c r="P197" s="1"/>
      <x:c r="Q197" s="1"/>
      <x:c r="R197" s="2"/>
    </x:row>
    <x:row r="198" ht="6" customHeight="1">
      <x:c r="A198" s="1"/>
      <x:c r="B198" s="3"/>
      <x:c r="C198" s="1"/>
      <x:c r="D198" s="3"/>
      <x:c r="E198" s="1"/>
      <x:c r="F198" s="141"/>
      <x:c r="G198" s="1"/>
      <x:c r="H198" s="1"/>
      <x:c r="I198" s="1"/>
      <x:c r="J198" s="1"/>
      <x:c r="K198" s="3"/>
      <x:c r="L198" s="3"/>
      <x:c r="M198" s="1"/>
      <x:c r="N198" s="1"/>
      <x:c r="O198" s="1"/>
      <x:c r="P198" s="1"/>
      <x:c r="Q198" s="1"/>
      <x:c r="R198" s="2"/>
    </x:row>
    <x:row r="199" ht="6" customHeight="1">
      <x:c r="A199" s="1"/>
      <x:c r="B199" s="3"/>
      <x:c r="C199" s="1"/>
      <x:c r="D199" s="3"/>
      <x:c r="E199" s="1"/>
      <x:c r="F199" s="141"/>
      <x:c r="G199" s="1"/>
      <x:c r="H199" s="1"/>
      <x:c r="I199" s="1"/>
      <x:c r="J199" s="1"/>
      <x:c r="K199" s="3"/>
      <x:c r="L199" s="3"/>
      <x:c r="M199" s="1"/>
      <x:c r="N199" s="1"/>
      <x:c r="O199" s="1"/>
      <x:c r="P199" s="1"/>
      <x:c r="Q199" s="1"/>
      <x:c r="R199" s="2"/>
    </x:row>
    <x:row r="200" ht="6" customHeight="1">
      <x:c r="A200" s="1"/>
      <x:c r="B200" s="3"/>
      <x:c r="C200" s="1"/>
      <x:c r="D200" s="3"/>
      <x:c r="E200" s="1"/>
      <x:c r="F200" s="141"/>
      <x:c r="G200" s="1"/>
      <x:c r="H200" s="1"/>
      <x:c r="I200" s="1"/>
      <x:c r="J200" s="1"/>
      <x:c r="K200" s="3"/>
      <x:c r="L200" s="3"/>
      <x:c r="M200" s="1"/>
      <x:c r="N200" s="1"/>
      <x:c r="O200" s="1"/>
      <x:c r="P200" s="1"/>
      <x:c r="Q200" s="1"/>
      <x:c r="R200" s="2"/>
    </x:row>
    <x:row r="201" ht="6" customHeight="1">
      <x:c r="A201" s="1"/>
      <x:c r="B201" s="3"/>
      <x:c r="C201" s="1"/>
      <x:c r="D201" s="3"/>
      <x:c r="E201" s="1"/>
      <x:c r="F201" s="141"/>
      <x:c r="G201" s="1"/>
      <x:c r="H201" s="1"/>
      <x:c r="I201" s="1"/>
      <x:c r="J201" s="1"/>
      <x:c r="K201" s="3"/>
      <x:c r="L201" s="3"/>
      <x:c r="M201" s="1"/>
      <x:c r="N201" s="1"/>
      <x:c r="O201" s="1"/>
      <x:c r="P201" s="1"/>
      <x:c r="Q201" s="1"/>
      <x:c r="R201" s="2"/>
    </x:row>
    <x:row r="202" ht="6" customHeight="1">
      <x:c r="A202" s="1"/>
      <x:c r="B202" s="3"/>
      <x:c r="C202" s="1"/>
      <x:c r="D202" s="3"/>
      <x:c r="E202" s="1"/>
      <x:c r="F202" s="141"/>
      <x:c r="G202" s="1"/>
      <x:c r="H202" s="1"/>
      <x:c r="I202" s="1"/>
      <x:c r="J202" s="1"/>
      <x:c r="K202" s="3"/>
      <x:c r="L202" s="3"/>
      <x:c r="M202" s="1"/>
      <x:c r="N202" s="1"/>
      <x:c r="O202" s="1"/>
      <x:c r="P202" s="1"/>
      <x:c r="Q202" s="1"/>
      <x:c r="R202" s="2"/>
    </x:row>
    <x:row r="203" ht="6" customHeight="1">
      <x:c r="A203" s="1"/>
      <x:c r="B203" s="3"/>
      <x:c r="C203" s="1"/>
      <x:c r="D203" s="3"/>
      <x:c r="E203" s="1"/>
      <x:c r="F203" s="141"/>
      <x:c r="G203" s="1"/>
      <x:c r="H203" s="1"/>
      <x:c r="I203" s="1"/>
      <x:c r="J203" s="1"/>
      <x:c r="K203" s="3"/>
      <x:c r="L203" s="3"/>
      <x:c r="M203" s="1"/>
      <x:c r="N203" s="1"/>
      <x:c r="O203" s="1"/>
      <x:c r="P203" s="1"/>
      <x:c r="Q203" s="1"/>
      <x:c r="R203" s="2"/>
    </x:row>
    <x:row r="204" ht="6" customHeight="1">
      <x:c r="A204" s="1"/>
      <x:c r="B204" s="3"/>
      <x:c r="C204" s="1"/>
      <x:c r="D204" s="3"/>
      <x:c r="E204" s="1"/>
      <x:c r="F204" s="141"/>
      <x:c r="G204" s="1"/>
      <x:c r="H204" s="1"/>
      <x:c r="I204" s="1"/>
      <x:c r="J204" s="1"/>
      <x:c r="K204" s="3"/>
      <x:c r="L204" s="3"/>
      <x:c r="M204" s="1"/>
      <x:c r="N204" s="1"/>
      <x:c r="O204" s="1"/>
      <x:c r="P204" s="1"/>
      <x:c r="Q204" s="1"/>
      <x:c r="R204" s="2"/>
    </x:row>
    <x:row r="205" ht="6" customHeight="1">
      <x:c r="A205" s="1"/>
      <x:c r="B205" s="3"/>
      <x:c r="C205" s="1"/>
      <x:c r="D205" s="3"/>
      <x:c r="E205" s="1"/>
      <x:c r="F205" s="141"/>
      <x:c r="G205" s="1"/>
      <x:c r="H205" s="1"/>
      <x:c r="I205" s="1"/>
      <x:c r="J205" s="1"/>
      <x:c r="K205" s="3"/>
      <x:c r="L205" s="3"/>
      <x:c r="M205" s="1"/>
      <x:c r="N205" s="1"/>
      <x:c r="O205" s="1"/>
      <x:c r="P205" s="1"/>
      <x:c r="Q205" s="1"/>
      <x:c r="R205" s="2"/>
    </x:row>
    <x:row r="206" ht="6" customHeight="1">
      <x:c r="A206" s="1"/>
      <x:c r="B206" s="3"/>
      <x:c r="C206" s="1"/>
      <x:c r="D206" s="3"/>
      <x:c r="E206" s="1"/>
      <x:c r="F206" s="141"/>
      <x:c r="G206" s="1"/>
      <x:c r="H206" s="1"/>
      <x:c r="I206" s="1"/>
      <x:c r="J206" s="1"/>
      <x:c r="K206" s="3"/>
      <x:c r="L206" s="3"/>
      <x:c r="M206" s="1"/>
      <x:c r="N206" s="1"/>
      <x:c r="O206" s="1"/>
      <x:c r="P206" s="1"/>
      <x:c r="Q206" s="1"/>
      <x:c r="R206" s="2"/>
    </x:row>
    <x:row r="207" ht="6" customHeight="1">
      <x:c r="A207" s="1"/>
      <x:c r="B207" s="3"/>
      <x:c r="C207" s="1"/>
      <x:c r="D207" s="3"/>
      <x:c r="E207" s="1"/>
      <x:c r="F207" s="141"/>
      <x:c r="G207" s="1"/>
      <x:c r="H207" s="1"/>
      <x:c r="I207" s="1"/>
      <x:c r="J207" s="1"/>
      <x:c r="K207" s="3"/>
      <x:c r="L207" s="3"/>
      <x:c r="M207" s="1"/>
      <x:c r="N207" s="1"/>
      <x:c r="O207" s="1"/>
      <x:c r="P207" s="1"/>
      <x:c r="Q207" s="1"/>
      <x:c r="R207" s="2"/>
    </x:row>
    <x:row r="208" ht="6" customHeight="1">
      <x:c r="A208" s="1"/>
      <x:c r="B208" s="3"/>
      <x:c r="C208" s="1"/>
      <x:c r="D208" s="3"/>
      <x:c r="E208" s="1"/>
      <x:c r="F208" s="141"/>
      <x:c r="G208" s="1"/>
      <x:c r="H208" s="1"/>
      <x:c r="I208" s="1"/>
      <x:c r="J208" s="1"/>
      <x:c r="K208" s="3"/>
      <x:c r="L208" s="3"/>
      <x:c r="M208" s="1"/>
      <x:c r="N208" s="1"/>
      <x:c r="O208" s="1"/>
      <x:c r="P208" s="1"/>
      <x:c r="Q208" s="1"/>
      <x:c r="R208" s="2"/>
    </x:row>
    <x:row r="209" ht="6" customHeight="1">
      <x:c r="A209" s="1"/>
      <x:c r="B209" s="3"/>
      <x:c r="C209" s="1"/>
      <x:c r="D209" s="3"/>
      <x:c r="E209" s="1"/>
      <x:c r="F209" s="141"/>
      <x:c r="G209" s="1"/>
      <x:c r="H209" s="1"/>
      <x:c r="I209" s="1"/>
      <x:c r="J209" s="1"/>
      <x:c r="K209" s="3"/>
      <x:c r="L209" s="3"/>
      <x:c r="M209" s="1"/>
      <x:c r="N209" s="1"/>
      <x:c r="O209" s="1"/>
      <x:c r="P209" s="1"/>
      <x:c r="Q209" s="1"/>
      <x:c r="R209" s="2"/>
    </x:row>
    <x:row r="210" ht="6" customHeight="1">
      <x:c r="A210" s="1"/>
      <x:c r="B210" s="3"/>
      <x:c r="C210" s="1"/>
      <x:c r="D210" s="3"/>
      <x:c r="E210" s="1"/>
      <x:c r="F210" s="141"/>
      <x:c r="G210" s="1"/>
      <x:c r="H210" s="1"/>
      <x:c r="I210" s="1"/>
      <x:c r="J210" s="1"/>
      <x:c r="K210" s="3"/>
      <x:c r="L210" s="3"/>
      <x:c r="M210" s="1"/>
      <x:c r="N210" s="1"/>
      <x:c r="O210" s="1"/>
      <x:c r="P210" s="1"/>
      <x:c r="Q210" s="1"/>
      <x:c r="R210" s="2"/>
    </x:row>
    <x:row r="211" ht="6" customHeight="1">
      <x:c r="A211" s="1"/>
      <x:c r="B211" s="3"/>
      <x:c r="C211" s="1"/>
      <x:c r="D211" s="3"/>
      <x:c r="E211" s="1"/>
      <x:c r="F211" s="141"/>
      <x:c r="G211" s="1"/>
      <x:c r="H211" s="1"/>
      <x:c r="I211" s="1"/>
      <x:c r="J211" s="1"/>
      <x:c r="K211" s="3"/>
      <x:c r="L211" s="3"/>
      <x:c r="M211" s="1"/>
      <x:c r="N211" s="1"/>
      <x:c r="O211" s="1"/>
      <x:c r="P211" s="1"/>
      <x:c r="Q211" s="1"/>
      <x:c r="R211" s="2"/>
    </x:row>
    <x:row r="212" ht="6" customHeight="1">
      <x:c r="A212" s="1"/>
      <x:c r="B212" s="3"/>
      <x:c r="C212" s="1"/>
      <x:c r="D212" s="3"/>
      <x:c r="E212" s="1"/>
      <x:c r="F212" s="141"/>
      <x:c r="G212" s="1"/>
      <x:c r="H212" s="1"/>
      <x:c r="I212" s="1"/>
      <x:c r="J212" s="1"/>
      <x:c r="K212" s="3"/>
      <x:c r="L212" s="3"/>
      <x:c r="M212" s="1"/>
      <x:c r="N212" s="1"/>
      <x:c r="O212" s="1"/>
      <x:c r="P212" s="1"/>
      <x:c r="Q212" s="1"/>
      <x:c r="R212" s="2"/>
    </x:row>
    <x:row r="213" ht="6" customHeight="1">
      <x:c r="A213" s="1"/>
      <x:c r="B213" s="3"/>
      <x:c r="C213" s="1"/>
      <x:c r="D213" s="3"/>
      <x:c r="E213" s="1"/>
      <x:c r="F213" s="141"/>
      <x:c r="G213" s="1"/>
      <x:c r="H213" s="1"/>
      <x:c r="I213" s="1"/>
      <x:c r="J213" s="1"/>
      <x:c r="K213" s="3"/>
      <x:c r="L213" s="3"/>
      <x:c r="M213" s="1"/>
      <x:c r="N213" s="1"/>
      <x:c r="O213" s="1"/>
      <x:c r="P213" s="1"/>
      <x:c r="Q213" s="1"/>
      <x:c r="R213" s="2"/>
    </x:row>
    <x:row r="214" ht="6" customHeight="1">
      <x:c r="A214" s="1"/>
      <x:c r="B214" s="3"/>
      <x:c r="C214" s="1"/>
      <x:c r="D214" s="3"/>
      <x:c r="E214" s="1"/>
      <x:c r="F214" s="141"/>
      <x:c r="G214" s="1"/>
      <x:c r="H214" s="1"/>
      <x:c r="I214" s="1"/>
      <x:c r="J214" s="1"/>
      <x:c r="K214" s="3"/>
      <x:c r="L214" s="3"/>
      <x:c r="M214" s="1"/>
      <x:c r="N214" s="1"/>
      <x:c r="O214" s="1"/>
      <x:c r="P214" s="1"/>
      <x:c r="Q214" s="1"/>
      <x:c r="R214" s="2"/>
    </x:row>
    <x:row r="215" ht="6" customHeight="1">
      <x:c r="A215" s="1"/>
      <x:c r="B215" s="3"/>
      <x:c r="C215" s="1"/>
      <x:c r="D215" s="3"/>
      <x:c r="E215" s="1"/>
      <x:c r="F215" s="141"/>
      <x:c r="G215" s="1"/>
      <x:c r="H215" s="1"/>
      <x:c r="I215" s="1"/>
      <x:c r="J215" s="1"/>
      <x:c r="K215" s="3"/>
      <x:c r="L215" s="3"/>
      <x:c r="M215" s="1"/>
      <x:c r="N215" s="1"/>
      <x:c r="O215" s="1"/>
      <x:c r="P215" s="1"/>
      <x:c r="Q215" s="1"/>
      <x:c r="R215" s="2"/>
    </x:row>
    <x:row r="216" ht="6" customHeight="1">
      <x:c r="A216" s="1"/>
      <x:c r="B216" s="3"/>
      <x:c r="C216" s="1"/>
      <x:c r="D216" s="3"/>
      <x:c r="E216" s="1"/>
      <x:c r="F216" s="141"/>
      <x:c r="G216" s="1"/>
      <x:c r="H216" s="1"/>
      <x:c r="I216" s="1"/>
      <x:c r="J216" s="1"/>
      <x:c r="K216" s="3"/>
      <x:c r="L216" s="3"/>
      <x:c r="M216" s="1"/>
      <x:c r="N216" s="1"/>
      <x:c r="O216" s="1"/>
      <x:c r="P216" s="1"/>
      <x:c r="Q216" s="1"/>
      <x:c r="R216" s="2"/>
    </x:row>
    <x:row r="217" ht="6" customHeight="1">
      <x:c r="A217" s="1"/>
      <x:c r="B217" s="3"/>
      <x:c r="C217" s="1"/>
      <x:c r="D217" s="3"/>
      <x:c r="E217" s="1"/>
      <x:c r="F217" s="141"/>
      <x:c r="G217" s="1"/>
      <x:c r="H217" s="1"/>
      <x:c r="I217" s="1"/>
      <x:c r="J217" s="1"/>
      <x:c r="K217" s="3"/>
      <x:c r="L217" s="3"/>
      <x:c r="M217" s="1"/>
      <x:c r="N217" s="1"/>
      <x:c r="O217" s="1"/>
      <x:c r="P217" s="1"/>
      <x:c r="Q217" s="1"/>
      <x:c r="R217" s="2"/>
    </x:row>
    <x:row r="218" ht="6" customHeight="1">
      <x:c r="A218" s="1"/>
      <x:c r="B218" s="3"/>
      <x:c r="C218" s="1"/>
      <x:c r="D218" s="3"/>
      <x:c r="E218" s="1"/>
      <x:c r="F218" s="141"/>
      <x:c r="G218" s="1"/>
      <x:c r="H218" s="1"/>
      <x:c r="I218" s="1"/>
      <x:c r="J218" s="1"/>
      <x:c r="K218" s="3"/>
      <x:c r="L218" s="3"/>
      <x:c r="M218" s="1"/>
      <x:c r="N218" s="1"/>
      <x:c r="O218" s="1"/>
      <x:c r="P218" s="1"/>
      <x:c r="Q218" s="1"/>
      <x:c r="R218" s="2"/>
    </x:row>
    <x:row r="219" ht="6" customHeight="1">
      <x:c r="A219" s="1"/>
      <x:c r="B219" s="3"/>
      <x:c r="C219" s="1"/>
      <x:c r="D219" s="3"/>
      <x:c r="E219" s="1"/>
      <x:c r="F219" s="141"/>
      <x:c r="G219" s="1"/>
      <x:c r="H219" s="1"/>
      <x:c r="I219" s="1"/>
      <x:c r="J219" s="1"/>
      <x:c r="K219" s="3"/>
      <x:c r="L219" s="3"/>
      <x:c r="M219" s="1"/>
      <x:c r="N219" s="1"/>
      <x:c r="O219" s="1"/>
      <x:c r="P219" s="1"/>
      <x:c r="Q219" s="1"/>
      <x:c r="R219" s="2"/>
    </x:row>
    <x:row r="220" ht="6" customHeight="1">
      <x:c r="A220" s="1"/>
      <x:c r="B220" s="3"/>
      <x:c r="C220" s="1"/>
      <x:c r="D220" s="3"/>
      <x:c r="E220" s="1"/>
      <x:c r="F220" s="141"/>
      <x:c r="G220" s="1"/>
      <x:c r="H220" s="1"/>
      <x:c r="I220" s="1"/>
      <x:c r="J220" s="1"/>
      <x:c r="K220" s="3"/>
      <x:c r="L220" s="3"/>
      <x:c r="M220" s="1"/>
      <x:c r="N220" s="1"/>
      <x:c r="O220" s="1"/>
      <x:c r="P220" s="1"/>
      <x:c r="Q220" s="1"/>
      <x:c r="R220" s="2"/>
    </x:row>
    <x:row r="221" ht="6" customHeight="1">
      <x:c r="A221" s="1"/>
      <x:c r="B221" s="3"/>
      <x:c r="C221" s="1"/>
      <x:c r="D221" s="3"/>
      <x:c r="E221" s="1"/>
      <x:c r="F221" s="141"/>
      <x:c r="G221" s="1"/>
      <x:c r="H221" s="1"/>
      <x:c r="I221" s="1"/>
      <x:c r="J221" s="1"/>
      <x:c r="K221" s="3"/>
      <x:c r="L221" s="3"/>
      <x:c r="M221" s="1"/>
      <x:c r="N221" s="1"/>
      <x:c r="O221" s="1"/>
      <x:c r="P221" s="1"/>
      <x:c r="Q221" s="1"/>
      <x:c r="R221" s="2"/>
    </x:row>
    <x:row r="222" ht="6" customHeight="1">
      <x:c r="A222" s="1"/>
      <x:c r="B222" s="3"/>
      <x:c r="C222" s="1"/>
      <x:c r="D222" s="3"/>
      <x:c r="E222" s="1"/>
      <x:c r="F222" s="141"/>
      <x:c r="G222" s="1"/>
      <x:c r="H222" s="1"/>
      <x:c r="I222" s="1"/>
      <x:c r="J222" s="1"/>
      <x:c r="K222" s="3"/>
      <x:c r="L222" s="3"/>
      <x:c r="M222" s="1"/>
      <x:c r="N222" s="1"/>
      <x:c r="O222" s="1"/>
      <x:c r="P222" s="1"/>
      <x:c r="Q222" s="1"/>
      <x:c r="R222" s="2"/>
    </x:row>
    <x:row r="223" ht="6" customHeight="1">
      <x:c r="A223" s="1"/>
      <x:c r="B223" s="3"/>
      <x:c r="C223" s="1"/>
      <x:c r="D223" s="3"/>
      <x:c r="E223" s="1"/>
      <x:c r="F223" s="141"/>
      <x:c r="G223" s="1"/>
      <x:c r="H223" s="1"/>
      <x:c r="I223" s="1"/>
      <x:c r="J223" s="1"/>
      <x:c r="K223" s="3"/>
      <x:c r="L223" s="3"/>
      <x:c r="M223" s="1"/>
      <x:c r="N223" s="1"/>
      <x:c r="O223" s="1"/>
      <x:c r="P223" s="1"/>
      <x:c r="Q223" s="1"/>
      <x:c r="R223" s="2"/>
    </x:row>
    <x:row r="224" ht="6" customHeight="1">
      <x:c r="A224" s="1"/>
      <x:c r="B224" s="3"/>
      <x:c r="C224" s="1"/>
      <x:c r="D224" s="3"/>
      <x:c r="E224" s="1"/>
      <x:c r="F224" s="141"/>
      <x:c r="G224" s="1"/>
      <x:c r="H224" s="1"/>
      <x:c r="I224" s="1"/>
      <x:c r="J224" s="1"/>
      <x:c r="K224" s="3"/>
      <x:c r="L224" s="3"/>
      <x:c r="M224" s="1"/>
      <x:c r="N224" s="1"/>
      <x:c r="O224" s="1"/>
      <x:c r="P224" s="1"/>
      <x:c r="Q224" s="1"/>
      <x:c r="R224" s="2"/>
    </x:row>
    <x:row r="225" ht="6" customHeight="1">
      <x:c r="A225" s="1"/>
      <x:c r="B225" s="3"/>
      <x:c r="C225" s="1"/>
      <x:c r="D225" s="3"/>
      <x:c r="E225" s="1"/>
      <x:c r="F225" s="141"/>
      <x:c r="G225" s="1"/>
      <x:c r="H225" s="1"/>
      <x:c r="I225" s="1"/>
      <x:c r="J225" s="1"/>
      <x:c r="K225" s="3"/>
      <x:c r="L225" s="3"/>
      <x:c r="M225" s="1"/>
      <x:c r="N225" s="1"/>
      <x:c r="O225" s="1"/>
      <x:c r="P225" s="1"/>
      <x:c r="Q225" s="1"/>
      <x:c r="R225" s="2"/>
    </x:row>
    <x:row r="226" ht="6" customHeight="1">
      <x:c r="A226" s="1"/>
      <x:c r="B226" s="3"/>
      <x:c r="C226" s="1"/>
      <x:c r="D226" s="3"/>
      <x:c r="E226" s="1"/>
      <x:c r="F226" s="141"/>
      <x:c r="G226" s="1"/>
      <x:c r="H226" s="1"/>
      <x:c r="I226" s="1"/>
      <x:c r="J226" s="1"/>
      <x:c r="K226" s="3"/>
      <x:c r="L226" s="3"/>
      <x:c r="M226" s="1"/>
      <x:c r="N226" s="1"/>
      <x:c r="O226" s="1"/>
      <x:c r="P226" s="1"/>
      <x:c r="Q226" s="1"/>
      <x:c r="R226" s="2"/>
    </x:row>
    <x:row r="227" ht="6" customHeight="1">
      <x:c r="A227" s="1"/>
      <x:c r="B227" s="3"/>
      <x:c r="C227" s="1"/>
      <x:c r="D227" s="3"/>
      <x:c r="E227" s="1"/>
      <x:c r="F227" s="141"/>
      <x:c r="G227" s="1"/>
      <x:c r="H227" s="1"/>
      <x:c r="I227" s="1"/>
      <x:c r="J227" s="1"/>
      <x:c r="K227" s="3"/>
      <x:c r="L227" s="3"/>
      <x:c r="M227" s="1"/>
      <x:c r="N227" s="1"/>
      <x:c r="O227" s="1"/>
      <x:c r="P227" s="1"/>
      <x:c r="Q227" s="1"/>
      <x:c r="R227" s="2"/>
    </x:row>
    <x:row r="228" ht="6" customHeight="1">
      <x:c r="A228" s="1"/>
      <x:c r="B228" s="3"/>
      <x:c r="C228" s="1"/>
      <x:c r="D228" s="3"/>
      <x:c r="E228" s="1"/>
      <x:c r="F228" s="141"/>
      <x:c r="G228" s="1"/>
      <x:c r="H228" s="1"/>
      <x:c r="I228" s="1"/>
      <x:c r="J228" s="1"/>
      <x:c r="K228" s="3"/>
      <x:c r="L228" s="3"/>
      <x:c r="M228" s="1"/>
      <x:c r="N228" s="1"/>
      <x:c r="O228" s="1"/>
      <x:c r="P228" s="1"/>
      <x:c r="Q228" s="1"/>
      <x:c r="R228" s="2"/>
    </x:row>
    <x:row r="229" ht="6" customHeight="1">
      <x:c r="A229" s="1"/>
      <x:c r="B229" s="3"/>
      <x:c r="C229" s="1"/>
      <x:c r="D229" s="3"/>
      <x:c r="E229" s="1"/>
      <x:c r="F229" s="141"/>
      <x:c r="G229" s="1"/>
      <x:c r="H229" s="1"/>
      <x:c r="I229" s="1"/>
      <x:c r="J229" s="1"/>
      <x:c r="K229" s="3"/>
      <x:c r="L229" s="3"/>
      <x:c r="M229" s="1"/>
      <x:c r="N229" s="1"/>
      <x:c r="O229" s="1"/>
      <x:c r="P229" s="1"/>
      <x:c r="Q229" s="1"/>
      <x:c r="R229" s="2"/>
    </x:row>
    <x:row r="230" ht="6" customHeight="1">
      <x:c r="A230" s="1"/>
      <x:c r="B230" s="3"/>
      <x:c r="C230" s="1"/>
      <x:c r="D230" s="3"/>
      <x:c r="E230" s="1"/>
      <x:c r="F230" s="141"/>
      <x:c r="G230" s="1"/>
      <x:c r="H230" s="1"/>
      <x:c r="I230" s="1"/>
      <x:c r="J230" s="1"/>
      <x:c r="K230" s="3"/>
      <x:c r="L230" s="3"/>
      <x:c r="M230" s="1"/>
      <x:c r="N230" s="1"/>
      <x:c r="O230" s="1"/>
      <x:c r="P230" s="1"/>
      <x:c r="Q230" s="1"/>
      <x:c r="R230" s="2"/>
    </x:row>
    <x:row r="231" ht="6" customHeight="1">
      <x:c r="A231" s="1"/>
      <x:c r="B231" s="3"/>
      <x:c r="C231" s="1"/>
      <x:c r="D231" s="3"/>
      <x:c r="E231" s="1"/>
      <x:c r="F231" s="141"/>
      <x:c r="G231" s="1"/>
      <x:c r="H231" s="1"/>
      <x:c r="I231" s="1"/>
      <x:c r="J231" s="1"/>
      <x:c r="K231" s="3"/>
      <x:c r="L231" s="3"/>
      <x:c r="M231" s="1"/>
      <x:c r="N231" s="1"/>
      <x:c r="O231" s="1"/>
      <x:c r="P231" s="1"/>
      <x:c r="Q231" s="1"/>
      <x:c r="R231" s="2"/>
    </x:row>
    <x:row r="232" ht="6" customHeight="1">
      <x:c r="A232" s="1"/>
      <x:c r="B232" s="3"/>
      <x:c r="C232" s="1"/>
      <x:c r="D232" s="3"/>
      <x:c r="E232" s="1"/>
      <x:c r="F232" s="141"/>
      <x:c r="G232" s="1"/>
      <x:c r="H232" s="1"/>
      <x:c r="I232" s="1"/>
      <x:c r="J232" s="1"/>
      <x:c r="K232" s="3"/>
      <x:c r="L232" s="3"/>
      <x:c r="M232" s="1"/>
      <x:c r="N232" s="1"/>
      <x:c r="O232" s="1"/>
      <x:c r="P232" s="1"/>
      <x:c r="Q232" s="1"/>
      <x:c r="R232" s="2"/>
    </x:row>
    <x:row r="233" ht="6" customHeight="1">
      <x:c r="A233" s="1"/>
      <x:c r="B233" s="3"/>
      <x:c r="C233" s="1"/>
      <x:c r="D233" s="3"/>
      <x:c r="E233" s="1"/>
      <x:c r="F233" s="141"/>
      <x:c r="G233" s="1"/>
      <x:c r="H233" s="1"/>
      <x:c r="I233" s="1"/>
      <x:c r="J233" s="1"/>
      <x:c r="K233" s="3"/>
      <x:c r="L233" s="3"/>
      <x:c r="M233" s="1"/>
      <x:c r="N233" s="1"/>
      <x:c r="O233" s="1"/>
      <x:c r="P233" s="1"/>
      <x:c r="Q233" s="1"/>
      <x:c r="R233" s="2"/>
    </x:row>
    <x:row r="234" ht="6" customHeight="1">
      <x:c r="A234" s="1"/>
      <x:c r="B234" s="3"/>
      <x:c r="C234" s="1"/>
      <x:c r="D234" s="3"/>
      <x:c r="E234" s="1"/>
      <x:c r="F234" s="141"/>
      <x:c r="G234" s="1"/>
      <x:c r="H234" s="1"/>
      <x:c r="I234" s="1"/>
      <x:c r="J234" s="1"/>
      <x:c r="K234" s="3"/>
      <x:c r="L234" s="3"/>
      <x:c r="M234" s="1"/>
      <x:c r="N234" s="1"/>
      <x:c r="O234" s="1"/>
      <x:c r="P234" s="1"/>
      <x:c r="Q234" s="1"/>
      <x:c r="R234" s="2"/>
    </x:row>
    <x:row r="235" ht="6" customHeight="1">
      <x:c r="A235" s="1"/>
      <x:c r="B235" s="3"/>
      <x:c r="C235" s="1"/>
      <x:c r="D235" s="3"/>
      <x:c r="E235" s="1"/>
      <x:c r="F235" s="141"/>
      <x:c r="G235" s="1"/>
      <x:c r="H235" s="1"/>
      <x:c r="I235" s="1"/>
      <x:c r="J235" s="1"/>
      <x:c r="K235" s="3"/>
      <x:c r="L235" s="3"/>
      <x:c r="M235" s="1"/>
      <x:c r="N235" s="1"/>
      <x:c r="O235" s="1"/>
      <x:c r="P235" s="1"/>
      <x:c r="Q235" s="1"/>
      <x:c r="R235" s="2"/>
    </x:row>
    <x:row r="236" ht="6" customHeight="1">
      <x:c r="A236" s="1"/>
      <x:c r="B236" s="3"/>
      <x:c r="C236" s="1"/>
      <x:c r="D236" s="3"/>
      <x:c r="E236" s="1"/>
      <x:c r="F236" s="141"/>
      <x:c r="G236" s="1"/>
      <x:c r="H236" s="1"/>
      <x:c r="I236" s="1"/>
      <x:c r="J236" s="1"/>
      <x:c r="K236" s="3"/>
      <x:c r="L236" s="3"/>
      <x:c r="M236" s="1"/>
      <x:c r="N236" s="1"/>
      <x:c r="O236" s="1"/>
      <x:c r="P236" s="1"/>
      <x:c r="Q236" s="1"/>
      <x:c r="R236" s="2"/>
    </x:row>
    <x:row r="237" ht="6" customHeight="1">
      <x:c r="A237" s="1"/>
      <x:c r="B237" s="3"/>
      <x:c r="C237" s="1"/>
      <x:c r="D237" s="3"/>
      <x:c r="E237" s="1"/>
      <x:c r="F237" s="141"/>
      <x:c r="G237" s="1"/>
      <x:c r="H237" s="1"/>
      <x:c r="I237" s="1"/>
      <x:c r="J237" s="1"/>
      <x:c r="K237" s="3"/>
      <x:c r="L237" s="3"/>
      <x:c r="M237" s="1"/>
      <x:c r="N237" s="1"/>
      <x:c r="O237" s="1"/>
      <x:c r="P237" s="1"/>
      <x:c r="Q237" s="1"/>
      <x:c r="R237" s="2"/>
    </x:row>
    <x:row r="238" ht="6" customHeight="1">
      <x:c r="A238" s="1"/>
      <x:c r="B238" s="3"/>
      <x:c r="C238" s="1"/>
      <x:c r="D238" s="3"/>
      <x:c r="E238" s="1"/>
      <x:c r="F238" s="141"/>
      <x:c r="G238" s="1"/>
      <x:c r="H238" s="1"/>
      <x:c r="I238" s="1"/>
      <x:c r="J238" s="1"/>
      <x:c r="K238" s="3"/>
      <x:c r="L238" s="3"/>
      <x:c r="M238" s="1"/>
      <x:c r="N238" s="1"/>
      <x:c r="O238" s="1"/>
      <x:c r="P238" s="1"/>
      <x:c r="Q238" s="1"/>
      <x:c r="R238" s="2"/>
    </x:row>
    <x:row r="239" ht="6" customHeight="1">
      <x:c r="A239" s="1"/>
      <x:c r="B239" s="3"/>
      <x:c r="C239" s="1"/>
      <x:c r="D239" s="3"/>
      <x:c r="E239" s="1"/>
      <x:c r="F239" s="141"/>
      <x:c r="G239" s="1"/>
      <x:c r="H239" s="1"/>
      <x:c r="I239" s="1"/>
      <x:c r="J239" s="1"/>
      <x:c r="K239" s="3"/>
      <x:c r="L239" s="3"/>
      <x:c r="M239" s="1"/>
      <x:c r="N239" s="1"/>
      <x:c r="O239" s="1"/>
      <x:c r="P239" s="1"/>
      <x:c r="Q239" s="1"/>
      <x:c r="R239" s="2"/>
    </x:row>
    <x:row r="240" ht="6" customHeight="1">
      <x:c r="A240" s="1"/>
      <x:c r="B240" s="3"/>
      <x:c r="C240" s="1"/>
      <x:c r="D240" s="3"/>
      <x:c r="E240" s="1"/>
      <x:c r="F240" s="141"/>
      <x:c r="G240" s="1"/>
      <x:c r="H240" s="1"/>
      <x:c r="I240" s="1"/>
      <x:c r="J240" s="1"/>
      <x:c r="K240" s="3"/>
      <x:c r="L240" s="3"/>
      <x:c r="M240" s="1"/>
      <x:c r="N240" s="1"/>
      <x:c r="O240" s="1"/>
      <x:c r="P240" s="1"/>
      <x:c r="Q240" s="1"/>
      <x:c r="R240" s="2"/>
    </x:row>
    <x:row r="241" ht="6" customHeight="1">
      <x:c r="A241" s="1"/>
      <x:c r="B241" s="3"/>
      <x:c r="C241" s="1"/>
      <x:c r="D241" s="3"/>
      <x:c r="E241" s="1"/>
      <x:c r="F241" s="141"/>
      <x:c r="G241" s="1"/>
      <x:c r="H241" s="1"/>
      <x:c r="I241" s="1"/>
      <x:c r="J241" s="1"/>
      <x:c r="K241" s="3"/>
      <x:c r="L241" s="3"/>
      <x:c r="M241" s="1"/>
      <x:c r="N241" s="1"/>
      <x:c r="O241" s="1"/>
      <x:c r="P241" s="1"/>
      <x:c r="Q241" s="1"/>
      <x:c r="R241" s="2"/>
    </x:row>
    <x:row r="242" ht="6" customHeight="1">
      <x:c r="A242" s="1"/>
      <x:c r="B242" s="3"/>
      <x:c r="C242" s="1"/>
      <x:c r="D242" s="3"/>
      <x:c r="E242" s="1"/>
      <x:c r="F242" s="141"/>
      <x:c r="G242" s="1"/>
      <x:c r="H242" s="1"/>
      <x:c r="I242" s="1"/>
      <x:c r="J242" s="1"/>
      <x:c r="K242" s="3"/>
      <x:c r="L242" s="3"/>
      <x:c r="M242" s="1"/>
      <x:c r="N242" s="1"/>
      <x:c r="O242" s="1"/>
      <x:c r="P242" s="1"/>
      <x:c r="Q242" s="1"/>
      <x:c r="R242" s="2"/>
    </x:row>
    <x:row r="243" ht="6" customHeight="1">
      <x:c r="A243" s="1"/>
      <x:c r="B243" s="3"/>
      <x:c r="C243" s="1"/>
      <x:c r="D243" s="3"/>
      <x:c r="E243" s="1"/>
      <x:c r="F243" s="141"/>
      <x:c r="G243" s="1"/>
      <x:c r="H243" s="1"/>
      <x:c r="I243" s="1"/>
      <x:c r="J243" s="1"/>
      <x:c r="K243" s="3"/>
      <x:c r="L243" s="3"/>
      <x:c r="M243" s="1"/>
      <x:c r="N243" s="1"/>
      <x:c r="O243" s="1"/>
      <x:c r="P243" s="1"/>
      <x:c r="Q243" s="1"/>
      <x:c r="R243" s="2"/>
    </x:row>
    <x:row r="244" ht="6" customHeight="1">
      <x:c r="A244" s="1"/>
      <x:c r="B244" s="3"/>
      <x:c r="C244" s="1"/>
      <x:c r="D244" s="3"/>
      <x:c r="E244" s="1"/>
      <x:c r="F244" s="141"/>
      <x:c r="G244" s="1"/>
      <x:c r="H244" s="1"/>
      <x:c r="I244" s="1"/>
      <x:c r="J244" s="1"/>
      <x:c r="K244" s="3"/>
      <x:c r="L244" s="3"/>
      <x:c r="M244" s="1"/>
      <x:c r="N244" s="1"/>
      <x:c r="O244" s="1"/>
      <x:c r="P244" s="1"/>
      <x:c r="Q244" s="1"/>
      <x:c r="R244" s="2"/>
    </x:row>
    <x:row r="245" ht="6" customHeight="1">
      <x:c r="A245" s="1"/>
      <x:c r="B245" s="3"/>
      <x:c r="C245" s="1"/>
      <x:c r="D245" s="3"/>
      <x:c r="E245" s="1"/>
      <x:c r="F245" s="141"/>
      <x:c r="G245" s="1"/>
      <x:c r="H245" s="1"/>
      <x:c r="I245" s="1"/>
      <x:c r="J245" s="1"/>
      <x:c r="K245" s="3"/>
      <x:c r="L245" s="3"/>
      <x:c r="M245" s="1"/>
      <x:c r="N245" s="1"/>
      <x:c r="O245" s="1"/>
      <x:c r="P245" s="1"/>
      <x:c r="Q245" s="1"/>
      <x:c r="R245" s="2"/>
    </x:row>
    <x:row r="246" ht="6" customHeight="1">
      <x:c r="A246" s="1"/>
      <x:c r="B246" s="3"/>
      <x:c r="C246" s="1"/>
      <x:c r="D246" s="3"/>
      <x:c r="E246" s="1"/>
      <x:c r="F246" s="141"/>
      <x:c r="G246" s="1"/>
      <x:c r="H246" s="1"/>
      <x:c r="I246" s="1"/>
      <x:c r="J246" s="1"/>
      <x:c r="K246" s="3"/>
      <x:c r="L246" s="3"/>
      <x:c r="M246" s="1"/>
      <x:c r="N246" s="1"/>
      <x:c r="O246" s="1"/>
      <x:c r="P246" s="1"/>
      <x:c r="Q246" s="1"/>
      <x:c r="R246" s="2"/>
    </x:row>
    <x:row r="247" ht="6" customHeight="1">
      <x:c r="A247" s="1"/>
      <x:c r="B247" s="3"/>
      <x:c r="C247" s="1"/>
      <x:c r="D247" s="3"/>
      <x:c r="E247" s="1"/>
      <x:c r="F247" s="141"/>
      <x:c r="G247" s="1"/>
      <x:c r="H247" s="1"/>
      <x:c r="I247" s="1"/>
      <x:c r="J247" s="1"/>
      <x:c r="K247" s="3"/>
      <x:c r="L247" s="3"/>
      <x:c r="M247" s="1"/>
      <x:c r="N247" s="1"/>
      <x:c r="O247" s="1"/>
      <x:c r="P247" s="1"/>
      <x:c r="Q247" s="1"/>
      <x:c r="R247" s="2"/>
    </x:row>
    <x:row r="248" ht="6" customHeight="1">
      <x:c r="A248" s="1"/>
      <x:c r="B248" s="3"/>
      <x:c r="C248" s="1"/>
      <x:c r="D248" s="3"/>
      <x:c r="E248" s="1"/>
      <x:c r="F248" s="141"/>
      <x:c r="G248" s="1"/>
      <x:c r="H248" s="1"/>
      <x:c r="I248" s="1"/>
      <x:c r="J248" s="1"/>
      <x:c r="K248" s="3"/>
      <x:c r="L248" s="3"/>
      <x:c r="M248" s="1"/>
      <x:c r="N248" s="1"/>
      <x:c r="O248" s="1"/>
      <x:c r="P248" s="1"/>
      <x:c r="Q248" s="1"/>
      <x:c r="R248" s="2"/>
    </x:row>
    <x:row r="249" ht="6" customHeight="1">
      <x:c r="A249" s="1"/>
      <x:c r="B249" s="3"/>
      <x:c r="C249" s="1"/>
      <x:c r="D249" s="3"/>
      <x:c r="E249" s="1"/>
      <x:c r="F249" s="141"/>
      <x:c r="G249" s="1"/>
      <x:c r="H249" s="1"/>
      <x:c r="I249" s="1"/>
      <x:c r="J249" s="1"/>
      <x:c r="K249" s="3"/>
      <x:c r="L249" s="3"/>
      <x:c r="M249" s="1"/>
      <x:c r="N249" s="1"/>
      <x:c r="O249" s="1"/>
      <x:c r="P249" s="1"/>
      <x:c r="Q249" s="1"/>
      <x:c r="R249" s="2"/>
    </x:row>
    <x:row r="250" ht="6" customHeight="1">
      <x:c r="A250" s="1"/>
      <x:c r="B250" s="3"/>
      <x:c r="C250" s="1"/>
      <x:c r="D250" s="3"/>
      <x:c r="E250" s="1"/>
      <x:c r="F250" s="141"/>
      <x:c r="G250" s="1"/>
      <x:c r="H250" s="1"/>
      <x:c r="I250" s="1"/>
      <x:c r="J250" s="1"/>
      <x:c r="K250" s="3"/>
      <x:c r="L250" s="3"/>
      <x:c r="M250" s="1"/>
      <x:c r="N250" s="1"/>
      <x:c r="O250" s="1"/>
      <x:c r="P250" s="1"/>
      <x:c r="Q250" s="1"/>
      <x:c r="R250" s="2"/>
    </x:row>
    <x:row r="251" ht="6" customHeight="1">
      <x:c r="A251" s="1"/>
      <x:c r="B251" s="3"/>
      <x:c r="C251" s="1"/>
      <x:c r="D251" s="3"/>
      <x:c r="E251" s="1"/>
      <x:c r="F251" s="141"/>
      <x:c r="G251" s="1"/>
      <x:c r="H251" s="1"/>
      <x:c r="I251" s="1"/>
      <x:c r="J251" s="1"/>
      <x:c r="K251" s="3"/>
      <x:c r="L251" s="3"/>
      <x:c r="M251" s="1"/>
      <x:c r="N251" s="1"/>
      <x:c r="O251" s="1"/>
      <x:c r="P251" s="1"/>
      <x:c r="Q251" s="1"/>
      <x:c r="R251" s="2"/>
    </x:row>
    <x:row r="252" ht="6" customHeight="1">
      <x:c r="A252" s="1"/>
      <x:c r="B252" s="3"/>
      <x:c r="C252" s="1"/>
      <x:c r="D252" s="3"/>
      <x:c r="E252" s="1"/>
      <x:c r="F252" s="141"/>
      <x:c r="G252" s="1"/>
      <x:c r="H252" s="1"/>
      <x:c r="I252" s="1"/>
      <x:c r="J252" s="1"/>
      <x:c r="K252" s="3"/>
      <x:c r="L252" s="3"/>
      <x:c r="M252" s="1"/>
      <x:c r="N252" s="1"/>
      <x:c r="O252" s="1"/>
      <x:c r="P252" s="1"/>
      <x:c r="Q252" s="1"/>
      <x:c r="R252" s="2"/>
    </x:row>
    <x:row r="253" ht="6" customHeight="1">
      <x:c r="A253" s="1"/>
      <x:c r="B253" s="3"/>
      <x:c r="C253" s="1"/>
      <x:c r="D253" s="3"/>
      <x:c r="E253" s="1"/>
      <x:c r="F253" s="141"/>
      <x:c r="G253" s="1"/>
      <x:c r="H253" s="1"/>
      <x:c r="I253" s="1"/>
      <x:c r="J253" s="1"/>
      <x:c r="K253" s="3"/>
      <x:c r="L253" s="3"/>
      <x:c r="M253" s="1"/>
      <x:c r="N253" s="1"/>
      <x:c r="O253" s="1"/>
      <x:c r="P253" s="1"/>
      <x:c r="Q253" s="1"/>
      <x:c r="R253" s="2"/>
    </x:row>
    <x:row r="254" ht="6" customHeight="1">
      <x:c r="A254" s="1"/>
      <x:c r="B254" s="3"/>
      <x:c r="C254" s="1"/>
      <x:c r="D254" s="3"/>
      <x:c r="E254" s="1"/>
      <x:c r="F254" s="141"/>
      <x:c r="G254" s="1"/>
      <x:c r="H254" s="1"/>
      <x:c r="I254" s="1"/>
      <x:c r="J254" s="1"/>
      <x:c r="K254" s="3"/>
      <x:c r="L254" s="3"/>
      <x:c r="M254" s="1"/>
      <x:c r="N254" s="1"/>
      <x:c r="O254" s="1"/>
      <x:c r="P254" s="1"/>
      <x:c r="Q254" s="1"/>
      <x:c r="R254" s="2"/>
    </x:row>
    <x:row r="255" ht="6" customHeight="1">
      <x:c r="A255" s="1"/>
      <x:c r="B255" s="3"/>
      <x:c r="C255" s="1"/>
      <x:c r="D255" s="3"/>
      <x:c r="E255" s="1"/>
      <x:c r="F255" s="141"/>
      <x:c r="G255" s="1"/>
      <x:c r="H255" s="1"/>
      <x:c r="I255" s="1"/>
      <x:c r="J255" s="1"/>
      <x:c r="K255" s="3"/>
      <x:c r="L255" s="3"/>
      <x:c r="M255" s="1"/>
      <x:c r="N255" s="1"/>
      <x:c r="O255" s="1"/>
      <x:c r="P255" s="1"/>
      <x:c r="Q255" s="1"/>
      <x:c r="R255" s="2"/>
    </x:row>
    <x:row r="256" ht="7.900000095367432" customHeight="1">
      <x:c r="A256" s="2"/>
      <x:c r="B256" s="2"/>
      <x:c r="C256" s="2"/>
      <x:c r="D256" s="77"/>
      <x:c r="E256" s="2"/>
      <x:c r="F256" s="141"/>
      <x:c r="G256" s="2"/>
      <x:c r="H256" s="2"/>
      <x:c r="I256" s="2"/>
      <x:c r="J256" s="2"/>
      <x:c r="K256" s="77"/>
      <x:c r="L256" s="77"/>
      <x:c r="M256" s="2"/>
      <x:c r="N256" s="2"/>
      <x:c r="O256" s="2"/>
      <x:c r="P256" s="2"/>
      <x:c r="Q256" s="2"/>
      <x:c r="R256" s="2"/>
    </x:row>
    <x:row r="257" ht="7.900000095367432" customHeight="1">
      <x:c r="K257" s="78"/>
      <x:c r="L257" s="78"/>
    </x:row>
    <x:row r="258" ht="7.900000095367432" customHeight="1">
      <x:c r="K258" s="78"/>
      <x:c r="L258" s="78"/>
    </x:row>
    <x:row r="259" ht="7.900000095367432" customHeight="1">
      <x:c r="K259" s="78"/>
      <x:c r="L259" s="78"/>
    </x:row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  <x:row r="786" ht="7.900000095367432" customHeight="1"/>
    <x:row r="787" ht="7.900000095367432" customHeight="1"/>
    <x:row r="788" ht="7.900000095367432" customHeight="1"/>
    <x:row r="789" ht="7.900000095367432" customHeight="1"/>
    <x:row r="790" ht="7.900000095367432" customHeight="1"/>
    <x:row r="791" ht="7.900000095367432" customHeight="1"/>
    <x:row r="792" ht="7.900000095367432" customHeight="1"/>
    <x:row r="793" ht="7.900000095367432" customHeight="1"/>
    <x:row r="794" ht="7.900000095367432" customHeight="1"/>
    <x:row r="795" ht="7.900000095367432" customHeight="1"/>
    <x:row r="796" ht="7.900000095367432" customHeight="1"/>
    <x:row r="797" ht="7.900000095367432" customHeight="1"/>
    <x:row r="798" ht="7.900000095367432" customHeight="1"/>
    <x:row r="799" ht="7.900000095367432" customHeight="1"/>
    <x:row r="800" ht="7.900000095367432" customHeight="1"/>
    <x:row r="801" ht="7.900000095367432" customHeight="1"/>
    <x:row r="802" ht="7.900000095367432" customHeight="1"/>
    <x:row r="803" ht="7.900000095367432" customHeight="1"/>
    <x:row r="804" ht="7.900000095367432" customHeight="1"/>
    <x:row r="805" ht="7.900000095367432" customHeight="1"/>
    <x:row r="806" ht="7.900000095367432" customHeight="1"/>
    <x:row r="807" ht="7.900000095367432" customHeight="1"/>
    <x:row r="808" ht="7.900000095367432" customHeight="1"/>
    <x:row r="809" ht="7.900000095367432" customHeight="1"/>
    <x:row r="810" ht="7.900000095367432" customHeight="1"/>
    <x:row r="811" ht="7.900000095367432" customHeight="1"/>
    <x:row r="812" ht="7.900000095367432" customHeight="1"/>
  </x:sheetData>
  <x:mergeCells>
    <x:mergeCell ref="B1:N1"/>
    <x:mergeCell ref="B2:N2"/>
    <x:mergeCell ref="D6:E6"/>
    <x:mergeCell ref="F6:G6"/>
    <x:mergeCell ref="B4:B5"/>
    <x:mergeCell ref="C4:C5"/>
    <x:mergeCell ref="D4:E5"/>
    <x:mergeCell ref="F4:G5"/>
    <x:mergeCell ref="J4:J5"/>
    <x:mergeCell ref="L4:L5"/>
    <x:mergeCell ref="M4:M5"/>
    <x:mergeCell ref="N4:N5"/>
    <x:mergeCell ref="H4:H5"/>
    <x:mergeCell ref="I4:I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27.265625" customWidth="1"/>
    <x:col min="4" max="4" width="4.46484375" style="79" customWidth="1"/>
    <x:col min="5" max="5" width="46.33203125" customWidth="1"/>
    <x:col min="6" max="6" width="3.9296875" style="79" customWidth="1"/>
    <x:col min="7" max="7" width="71" customWidth="1"/>
    <x:col min="8" max="8" width="21.6640625" customWidth="1"/>
    <x:col min="9" max="9" width="19.9296875" customWidth="1"/>
    <x:col min="10" max="10" width="12.1328125" customWidth="1"/>
    <x:col min="11" max="11" width="14" customWidth="1"/>
    <x:col min="12" max="12" width="23.6640625" customWidth="1"/>
    <x:col min="13" max="13" width="23.33203125" customWidth="1"/>
    <x:col min="14" max="16" width="14" customWidth="1"/>
  </x:cols>
  <x:sheetData>
    <x:row r="1" ht="6" customHeight="1">
      <x:c r="A1" s="1"/>
      <x:c r="B1" s="734" t="s">
        <x:v>402</x:v>
      </x:c>
      <x:c r="C1" s="735"/>
      <x:c r="D1" s="735"/>
      <x:c r="E1" s="735"/>
      <x:c r="F1" s="735"/>
      <x:c r="G1" s="735"/>
      <x:c r="H1" s="1"/>
      <x:c r="I1" s="1"/>
      <x:c r="J1" s="1"/>
      <x:c r="K1" s="2"/>
    </x:row>
    <x:row r="2" ht="6" customHeight="1">
      <x:c r="A2" s="1"/>
      <x:c r="B2" s="734" t="s">
        <x:v>344</x:v>
      </x:c>
      <x:c r="C2" s="735"/>
      <x:c r="D2" s="735"/>
      <x:c r="E2" s="735"/>
      <x:c r="F2" s="735"/>
      <x:c r="G2" s="735"/>
      <x:c r="H2" s="1"/>
      <x:c r="I2" s="1"/>
      <x:c r="J2" s="1"/>
    </x:row>
    <x:row r="3" ht="6" customHeight="1">
      <x:c r="A3" s="1"/>
      <x:c r="B3" s="3"/>
      <x:c r="C3" s="1"/>
      <x:c r="D3" s="3"/>
      <x:c r="E3" s="1"/>
      <x:c r="F3" s="3"/>
      <x:c r="G3" s="1"/>
      <x:c r="H3" s="1"/>
      <x:c r="I3" s="1"/>
      <x:c r="J3" s="1"/>
    </x:row>
    <x:row r="4" ht="9.399999618530273" customHeight="1">
      <x:c r="A4" s="413"/>
      <x:c r="B4" s="763" t="s">
        <x:v>47</x:v>
      </x:c>
      <x:c r="C4" s="767" t="s">
        <x:v>184</x:v>
      </x:c>
      <x:c r="D4" s="769" t="s">
        <x:v>194</x:v>
      </x:c>
      <x:c r="E4" s="769"/>
      <x:c r="F4" s="771" t="s">
        <x:v>208</x:v>
      </x:c>
      <x:c r="G4" s="772"/>
      <x:c r="H4" s="759" t="s">
        <x:v>345</x:v>
      </x:c>
      <x:c r="I4" s="761" t="s">
        <x:v>346</x:v>
      </x:c>
      <x:c r="J4" s="763" t="s">
        <x:v>347</x:v>
      </x:c>
      <x:c r="K4" s="765" t="s">
        <x:v>349</x:v>
      </x:c>
      <x:c r="L4" s="751" t="s">
        <x:v>350</x:v>
      </x:c>
      <x:c r="M4" s="751" t="s">
        <x:v>351</x:v>
      </x:c>
    </x:row>
    <x:row r="5" ht="16.149999618530273" customHeight="1">
      <x:c r="A5" s="413"/>
      <x:c r="B5" s="764"/>
      <x:c r="C5" s="768"/>
      <x:c r="D5" s="770"/>
      <x:c r="E5" s="770"/>
      <x:c r="F5" s="773"/>
      <x:c r="G5" s="774"/>
      <x:c r="H5" s="760"/>
      <x:c r="I5" s="762"/>
      <x:c r="J5" s="764"/>
      <x:c r="K5" s="766"/>
      <x:c r="L5" s="752"/>
      <x:c r="M5" s="752"/>
    </x:row>
    <x:row r="6" ht="6" customHeight="1">
      <x:c r="A6" s="1"/>
      <x:c r="B6" s="11">
        <x:v>1</x:v>
      </x:c>
      <x:c r="C6" s="12">
        <x:v>2</x:v>
      </x:c>
      <x:c r="D6" s="736">
        <x:v>3</x:v>
      </x:c>
      <x:c r="E6" s="736"/>
      <x:c r="F6" s="737">
        <x:v>4</x:v>
      </x:c>
      <x:c r="G6" s="738"/>
      <x:c r="H6" s="196">
        <x:v>5</x:v>
      </x:c>
      <x:c r="I6" s="196">
        <x:v>6</x:v>
      </x:c>
      <x:c r="J6" s="11">
        <x:v>7</x:v>
      </x:c>
      <x:c r="K6" s="11">
        <x:v>8</x:v>
      </x:c>
      <x:c r="L6" s="13">
        <x:v>9</x:v>
      </x:c>
      <x:c r="M6" s="13">
        <x:v>10</x:v>
      </x:c>
    </x:row>
    <x:row r="7" ht="7.900000095367432" customHeight="1">
      <x:c r="A7" s="1"/>
      <x:c r="B7" s="27">
        <x:v>1</x:v>
      </x:c>
      <x:c r="C7" s="757" t="s">
        <x:v>102</x:v>
      </x:c>
      <x:c r="D7" s="407">
        <x:v>1</x:v>
      </x:c>
      <x:c r="E7" s="114" t="s">
        <x:v>202</x:v>
      </x:c>
      <x:c r="F7" s="130">
        <x:v>1</x:v>
      </x:c>
      <x:c r="G7" s="143" t="s">
        <x:v>403</x:v>
      </x:c>
      <x:c r="H7" s="15"/>
      <x:c r="I7" s="15" t="s">
        <x:v>404</x:v>
      </x:c>
      <x:c r="J7" s="15" t="s">
        <x:v>405</x:v>
      </x:c>
      <x:c r="K7" s="90">
        <x:v>1</x:v>
      </x:c>
      <x:c r="L7" s="90" t="s">
        <x:v>406</x:v>
      </x:c>
      <x:c r="M7" s="90" t="s">
        <x:v>407</x:v>
      </x:c>
    </x:row>
    <x:row r="8" ht="7.900000095367432" customHeight="1">
      <x:c r="A8" s="1"/>
      <x:c r="B8" s="27"/>
      <x:c r="C8" s="757"/>
      <x:c r="D8" s="407"/>
      <x:c r="E8" s="114"/>
      <x:c r="F8" s="130">
        <x:v>2</x:v>
      </x:c>
      <x:c r="G8" s="143" t="s">
        <x:v>408</x:v>
      </x:c>
      <x:c r="H8" s="15"/>
      <x:c r="I8" s="15" t="s">
        <x:v>404</x:v>
      </x:c>
      <x:c r="J8" s="15" t="s">
        <x:v>405</x:v>
      </x:c>
      <x:c r="K8" s="90">
        <x:v>1</x:v>
      </x:c>
      <x:c r="L8" s="90" t="s">
        <x:v>406</x:v>
      </x:c>
      <x:c r="M8" s="90" t="s">
        <x:v>407</x:v>
      </x:c>
    </x:row>
    <x:row r="9" ht="7.900000095367432" customHeight="1">
      <x:c r="A9" s="1"/>
      <x:c r="B9" s="27"/>
      <x:c r="C9" s="757"/>
      <x:c r="D9" s="407"/>
      <x:c r="E9" s="114"/>
      <x:c r="F9" s="130"/>
      <x:c r="G9" s="143"/>
      <x:c r="H9" s="15"/>
      <x:c r="I9" s="15"/>
      <x:c r="J9" s="15"/>
      <x:c r="K9" s="90"/>
      <x:c r="L9" s="90"/>
      <x:c r="M9" s="90"/>
    </x:row>
    <x:row r="10" ht="7.900000095367432" customHeight="1">
      <x:c r="A10" s="1"/>
      <x:c r="B10" s="27"/>
      <x:c r="C10" s="757"/>
      <x:c r="D10" s="407">
        <x:v>2</x:v>
      </x:c>
      <x:c r="E10" s="114" t="s">
        <x:v>409</x:v>
      </x:c>
      <x:c r="F10" s="130">
        <x:v>1</x:v>
      </x:c>
      <x:c r="G10" s="143" t="s">
        <x:v>410</x:v>
      </x:c>
      <x:c r="H10" s="15"/>
      <x:c r="I10" s="15" t="s">
        <x:v>404</x:v>
      </x:c>
      <x:c r="J10" s="15" t="s">
        <x:v>405</x:v>
      </x:c>
      <x:c r="K10" s="90">
        <x:v>1</x:v>
      </x:c>
      <x:c r="L10" s="90" t="s">
        <x:v>406</x:v>
      </x:c>
      <x:c r="M10" s="90" t="s">
        <x:v>407</x:v>
      </x:c>
    </x:row>
    <x:row r="11" ht="7.900000095367432" customHeight="1">
      <x:c r="A11" s="1"/>
      <x:c r="B11" s="27"/>
      <x:c r="C11" s="757"/>
      <x:c r="D11" s="407"/>
      <x:c r="E11" s="114"/>
      <x:c r="F11" s="130">
        <x:v>2</x:v>
      </x:c>
      <x:c r="G11" s="143" t="s">
        <x:v>411</x:v>
      </x:c>
      <x:c r="H11" s="15"/>
      <x:c r="I11" s="15" t="s">
        <x:v>404</x:v>
      </x:c>
      <x:c r="J11" s="15" t="s">
        <x:v>405</x:v>
      </x:c>
      <x:c r="K11" s="90">
        <x:v>1</x:v>
      </x:c>
      <x:c r="L11" s="90" t="s">
        <x:v>406</x:v>
      </x:c>
      <x:c r="M11" s="90" t="s">
        <x:v>407</x:v>
      </x:c>
    </x:row>
    <x:row r="12" ht="7.900000095367432" customHeight="1">
      <x:c r="A12" s="1"/>
      <x:c r="B12" s="27"/>
      <x:c r="C12" s="757"/>
      <x:c r="D12" s="407"/>
      <x:c r="E12" s="114"/>
      <x:c r="F12" s="130">
        <x:v>3</x:v>
      </x:c>
      <x:c r="G12" s="411" t="s">
        <x:v>412</x:v>
      </x:c>
      <x:c r="H12" s="15"/>
      <x:c r="I12" s="15" t="s">
        <x:v>404</x:v>
      </x:c>
      <x:c r="J12" s="15" t="s">
        <x:v>405</x:v>
      </x:c>
      <x:c r="K12" s="90">
        <x:v>1</x:v>
      </x:c>
      <x:c r="L12" s="90" t="s">
        <x:v>406</x:v>
      </x:c>
      <x:c r="M12" s="90" t="s">
        <x:v>407</x:v>
      </x:c>
    </x:row>
    <x:row r="13" ht="7.900000095367432" customHeight="1">
      <x:c r="A13" s="1"/>
      <x:c r="B13" s="27"/>
      <x:c r="C13" s="757"/>
      <x:c r="D13" s="407"/>
      <x:c r="E13" s="114"/>
      <x:c r="F13" s="130"/>
      <x:c r="G13" s="145"/>
      <x:c r="H13" s="15"/>
      <x:c r="I13" s="15"/>
      <x:c r="J13" s="15"/>
      <x:c r="K13" s="90"/>
      <x:c r="L13" s="90"/>
      <x:c r="M13" s="90"/>
    </x:row>
    <x:row r="14" ht="7.900000095367432" customHeight="1">
      <x:c r="A14" s="1"/>
      <x:c r="B14" s="27"/>
      <x:c r="C14" s="757"/>
      <x:c r="D14" s="407">
        <x:v>3</x:v>
      </x:c>
      <x:c r="E14" s="409" t="s">
        <x:v>149</x:v>
      </x:c>
      <x:c r="F14" s="130">
        <x:v>1</x:v>
      </x:c>
      <x:c r="G14" s="143" t="s">
        <x:v>413</x:v>
      </x:c>
      <x:c r="H14" s="15"/>
      <x:c r="I14" s="15" t="s">
        <x:v>404</x:v>
      </x:c>
      <x:c r="J14" s="15" t="s">
        <x:v>405</x:v>
      </x:c>
      <x:c r="K14" s="90">
        <x:v>1</x:v>
      </x:c>
      <x:c r="L14" s="90" t="s">
        <x:v>406</x:v>
      </x:c>
      <x:c r="M14" s="90" t="s">
        <x:v>407</x:v>
      </x:c>
    </x:row>
    <x:row r="15" ht="7.900000095367432" customHeight="1">
      <x:c r="A15" s="1"/>
      <x:c r="B15" s="27"/>
      <x:c r="C15" s="757"/>
      <x:c r="D15" s="407"/>
      <x:c r="E15" s="410"/>
      <x:c r="F15" s="130"/>
      <x:c r="G15" s="29"/>
      <x:c r="H15" s="15"/>
      <x:c r="I15" s="15"/>
      <x:c r="J15" s="15"/>
      <x:c r="K15" s="90"/>
      <x:c r="L15" s="90"/>
      <x:c r="M15" s="90"/>
    </x:row>
    <x:row r="16" ht="7.900000095367432" customHeight="1">
      <x:c r="A16" s="1"/>
      <x:c r="B16" s="27"/>
      <x:c r="C16" s="757"/>
      <x:c r="D16" s="407">
        <x:v>4</x:v>
      </x:c>
      <x:c r="E16" s="410" t="s">
        <x:v>151</x:v>
      </x:c>
      <x:c r="F16" s="130">
        <x:v>1</x:v>
      </x:c>
      <x:c r="G16" s="143" t="s">
        <x:v>414</x:v>
      </x:c>
      <x:c r="H16" s="15"/>
      <x:c r="I16" s="15" t="s">
        <x:v>404</x:v>
      </x:c>
      <x:c r="J16" s="15" t="s">
        <x:v>405</x:v>
      </x:c>
      <x:c r="K16" s="90">
        <x:v>1</x:v>
      </x:c>
      <x:c r="L16" s="90" t="s">
        <x:v>406</x:v>
      </x:c>
      <x:c r="M16" s="90" t="s">
        <x:v>407</x:v>
      </x:c>
    </x:row>
    <x:row r="17" ht="7.900000095367432" customHeight="1">
      <x:c r="A17" s="1"/>
      <x:c r="B17" s="27"/>
      <x:c r="C17" s="757"/>
      <x:c r="D17" s="407"/>
      <x:c r="E17" s="410"/>
      <x:c r="F17" s="130">
        <x:v>2</x:v>
      </x:c>
      <x:c r="G17" s="29" t="s">
        <x:v>415</x:v>
      </x:c>
      <x:c r="H17" s="15"/>
      <x:c r="I17" s="15" t="s">
        <x:v>404</x:v>
      </x:c>
      <x:c r="J17" s="15" t="s">
        <x:v>405</x:v>
      </x:c>
      <x:c r="K17" s="90">
        <x:v>1</x:v>
      </x:c>
      <x:c r="L17" s="90" t="s">
        <x:v>406</x:v>
      </x:c>
      <x:c r="M17" s="90" t="s">
        <x:v>407</x:v>
      </x:c>
    </x:row>
    <x:row r="18" ht="7.900000095367432" customHeight="1">
      <x:c r="A18" s="1"/>
      <x:c r="B18" s="27"/>
      <x:c r="C18" s="757"/>
      <x:c r="D18" s="407"/>
      <x:c r="E18" s="410"/>
      <x:c r="F18" s="130">
        <x:v>3</x:v>
      </x:c>
      <x:c r="G18" s="143" t="s">
        <x:v>416</x:v>
      </x:c>
      <x:c r="H18" s="15"/>
      <x:c r="I18" s="15" t="s">
        <x:v>404</x:v>
      </x:c>
      <x:c r="J18" s="15" t="s">
        <x:v>405</x:v>
      </x:c>
      <x:c r="K18" s="90">
        <x:v>1</x:v>
      </x:c>
      <x:c r="L18" s="90" t="s">
        <x:v>406</x:v>
      </x:c>
      <x:c r="M18" s="90" t="s">
        <x:v>407</x:v>
      </x:c>
    </x:row>
    <x:row r="19" ht="7.900000095367432" customHeight="1">
      <x:c r="A19" s="1"/>
      <x:c r="B19" s="27"/>
      <x:c r="C19" s="757"/>
      <x:c r="D19" s="407"/>
      <x:c r="E19" s="410"/>
      <x:c r="F19" s="130">
        <x:v>4</x:v>
      </x:c>
      <x:c r="G19" s="143" t="s">
        <x:v>417</x:v>
      </x:c>
      <x:c r="H19" s="15"/>
      <x:c r="I19" s="15" t="s">
        <x:v>404</x:v>
      </x:c>
      <x:c r="J19" s="15" t="s">
        <x:v>405</x:v>
      </x:c>
      <x:c r="K19" s="90">
        <x:v>1</x:v>
      </x:c>
      <x:c r="L19" s="90" t="s">
        <x:v>406</x:v>
      </x:c>
      <x:c r="M19" s="90" t="s">
        <x:v>407</x:v>
      </x:c>
    </x:row>
    <x:row r="20" ht="7.900000095367432" customHeight="1">
      <x:c r="A20" s="1"/>
      <x:c r="B20" s="27"/>
      <x:c r="C20" s="757"/>
      <x:c r="D20" s="407"/>
      <x:c r="E20" s="410"/>
      <x:c r="F20" s="130">
        <x:v>5</x:v>
      </x:c>
      <x:c r="G20" s="143" t="s">
        <x:v>418</x:v>
      </x:c>
      <x:c r="H20" s="15"/>
      <x:c r="I20" s="15" t="s">
        <x:v>404</x:v>
      </x:c>
      <x:c r="J20" s="15" t="s">
        <x:v>405</x:v>
      </x:c>
      <x:c r="K20" s="90">
        <x:v>1</x:v>
      </x:c>
      <x:c r="L20" s="90" t="s">
        <x:v>406</x:v>
      </x:c>
      <x:c r="M20" s="90" t="s">
        <x:v>407</x:v>
      </x:c>
    </x:row>
    <x:row r="21" ht="7.900000095367432" customHeight="1">
      <x:c r="A21" s="1"/>
      <x:c r="B21" s="27"/>
      <x:c r="C21" s="757"/>
      <x:c r="D21" s="407"/>
      <x:c r="E21" s="410"/>
      <x:c r="F21" s="130"/>
      <x:c r="G21" s="143"/>
      <x:c r="H21" s="15"/>
      <x:c r="I21" s="15"/>
      <x:c r="J21" s="15"/>
      <x:c r="K21" s="90"/>
      <x:c r="L21" s="90"/>
      <x:c r="M21" s="90"/>
    </x:row>
    <x:row r="22" ht="7.900000095367432" customHeight="1">
      <x:c r="A22" s="1"/>
      <x:c r="B22" s="27"/>
      <x:c r="C22" s="757"/>
      <x:c r="D22" s="407"/>
      <x:c r="E22" s="410"/>
      <x:c r="F22" s="130"/>
      <x:c r="G22" s="143"/>
      <x:c r="H22" s="15"/>
      <x:c r="I22" s="15"/>
      <x:c r="J22" s="15"/>
      <x:c r="K22" s="90"/>
      <x:c r="L22" s="90"/>
      <x:c r="M22" s="90"/>
    </x:row>
    <x:row r="23" ht="7.900000095367432" customHeight="1">
      <x:c r="A23" s="1"/>
      <x:c r="B23" s="27"/>
      <x:c r="C23" s="757"/>
      <x:c r="D23" s="407">
        <x:v>5</x:v>
      </x:c>
      <x:c r="E23" s="410" t="s">
        <x:v>153</x:v>
      </x:c>
      <x:c r="F23" s="130">
        <x:v>1</x:v>
      </x:c>
      <x:c r="G23" s="143" t="s">
        <x:v>419</x:v>
      </x:c>
      <x:c r="H23" s="15"/>
      <x:c r="I23" s="15" t="s">
        <x:v>404</x:v>
      </x:c>
      <x:c r="J23" s="15" t="s">
        <x:v>405</x:v>
      </x:c>
      <x:c r="K23" s="90">
        <x:v>1</x:v>
      </x:c>
      <x:c r="L23" s="90" t="s">
        <x:v>406</x:v>
      </x:c>
      <x:c r="M23" s="90" t="s">
        <x:v>407</x:v>
      </x:c>
    </x:row>
    <x:row r="24" ht="7.900000095367432" customHeight="1">
      <x:c r="A24" s="1"/>
      <x:c r="B24" s="27"/>
      <x:c r="C24" s="757"/>
      <x:c r="D24" s="407"/>
      <x:c r="E24" s="410"/>
      <x:c r="F24" s="130">
        <x:v>2</x:v>
      </x:c>
      <x:c r="G24" s="143" t="s">
        <x:v>420</x:v>
      </x:c>
      <x:c r="H24" s="15"/>
      <x:c r="I24" s="15" t="s">
        <x:v>404</x:v>
      </x:c>
      <x:c r="J24" s="15" t="s">
        <x:v>405</x:v>
      </x:c>
      <x:c r="K24" s="90">
        <x:v>1</x:v>
      </x:c>
      <x:c r="L24" s="90" t="s">
        <x:v>406</x:v>
      </x:c>
      <x:c r="M24" s="90" t="s">
        <x:v>407</x:v>
      </x:c>
    </x:row>
    <x:row r="25" ht="7.900000095367432" customHeight="1">
      <x:c r="A25" s="1"/>
      <x:c r="B25" s="27"/>
      <x:c r="C25" s="757"/>
      <x:c r="D25" s="407"/>
      <x:c r="E25" s="410"/>
      <x:c r="F25" s="130"/>
      <x:c r="G25" s="143"/>
      <x:c r="H25" s="15"/>
      <x:c r="I25" s="15"/>
      <x:c r="J25" s="15"/>
      <x:c r="K25" s="90"/>
      <x:c r="L25" s="90"/>
      <x:c r="M25" s="90"/>
    </x:row>
    <x:row r="26" ht="7.900000095367432" customHeight="1">
      <x:c r="A26" s="1"/>
      <x:c r="B26" s="27"/>
      <x:c r="C26" s="757"/>
      <x:c r="D26" s="407">
        <x:v>6</x:v>
      </x:c>
      <x:c r="E26" s="410" t="s">
        <x:v>205</x:v>
      </x:c>
      <x:c r="F26" s="130">
        <x:v>1</x:v>
      </x:c>
      <x:c r="G26" s="143" t="s">
        <x:v>421</x:v>
      </x:c>
      <x:c r="H26" s="15"/>
      <x:c r="I26" s="15" t="s">
        <x:v>404</x:v>
      </x:c>
      <x:c r="J26" s="15" t="s">
        <x:v>405</x:v>
      </x:c>
      <x:c r="K26" s="90">
        <x:v>1</x:v>
      </x:c>
      <x:c r="L26" s="90" t="s">
        <x:v>406</x:v>
      </x:c>
      <x:c r="M26" s="90" t="s">
        <x:v>407</x:v>
      </x:c>
    </x:row>
    <x:row r="27" ht="7.900000095367432" customHeight="1">
      <x:c r="A27" s="1"/>
      <x:c r="B27" s="27"/>
      <x:c r="C27" s="757"/>
      <x:c r="D27" s="407"/>
      <x:c r="E27" s="410"/>
      <x:c r="F27" s="130">
        <x:v>2</x:v>
      </x:c>
      <x:c r="G27" s="143" t="s">
        <x:v>422</x:v>
      </x:c>
      <x:c r="H27" s="15"/>
      <x:c r="I27" s="15" t="s">
        <x:v>404</x:v>
      </x:c>
      <x:c r="J27" s="15" t="s">
        <x:v>405</x:v>
      </x:c>
      <x:c r="K27" s="90">
        <x:v>1</x:v>
      </x:c>
      <x:c r="L27" s="90" t="s">
        <x:v>406</x:v>
      </x:c>
      <x:c r="M27" s="90" t="s">
        <x:v>407</x:v>
      </x:c>
    </x:row>
    <x:row r="28" ht="7.900000095367432" customHeight="1">
      <x:c r="A28" s="1"/>
      <x:c r="B28" s="27"/>
      <x:c r="C28" s="757"/>
      <x:c r="D28" s="407"/>
      <x:c r="E28" s="410"/>
      <x:c r="F28" s="130">
        <x:v>3</x:v>
      </x:c>
      <x:c r="G28" s="143" t="s">
        <x:v>423</x:v>
      </x:c>
      <x:c r="H28" s="15"/>
      <x:c r="I28" s="15" t="s">
        <x:v>404</x:v>
      </x:c>
      <x:c r="J28" s="15" t="s">
        <x:v>405</x:v>
      </x:c>
      <x:c r="K28" s="90">
        <x:v>1</x:v>
      </x:c>
      <x:c r="L28" s="90" t="s">
        <x:v>406</x:v>
      </x:c>
      <x:c r="M28" s="90" t="s">
        <x:v>407</x:v>
      </x:c>
    </x:row>
    <x:row r="29" ht="7.900000095367432" customHeight="1">
      <x:c r="A29" s="1"/>
      <x:c r="B29" s="27"/>
      <x:c r="C29" s="757"/>
      <x:c r="D29" s="407"/>
      <x:c r="E29" s="410"/>
      <x:c r="F29" s="130"/>
      <x:c r="G29" s="143"/>
      <x:c r="H29" s="15"/>
      <x:c r="I29" s="15"/>
      <x:c r="J29" s="15"/>
      <x:c r="K29" s="90"/>
      <x:c r="L29" s="90"/>
      <x:c r="M29" s="90"/>
    </x:row>
    <x:row r="30" ht="7.900000095367432" customHeight="1">
      <x:c r="A30" s="1"/>
      <x:c r="B30" s="27"/>
      <x:c r="C30" s="758"/>
      <x:c r="D30" s="408">
        <x:v>7</x:v>
      </x:c>
      <x:c r="E30" s="410" t="s">
        <x:v>424</x:v>
      </x:c>
      <x:c r="F30" s="130">
        <x:v>1</x:v>
      </x:c>
      <x:c r="G30" s="143" t="s">
        <x:v>425</x:v>
      </x:c>
      <x:c r="H30" s="15"/>
      <x:c r="I30" s="15" t="s">
        <x:v>404</x:v>
      </x:c>
      <x:c r="J30" s="15" t="s">
        <x:v>405</x:v>
      </x:c>
      <x:c r="K30" s="90">
        <x:v>1</x:v>
      </x:c>
      <x:c r="L30" s="90" t="s">
        <x:v>406</x:v>
      </x:c>
      <x:c r="M30" s="90" t="s">
        <x:v>407</x:v>
      </x:c>
    </x:row>
    <x:row r="31" ht="7.900000095367432" customHeight="1">
      <x:c r="A31" s="1"/>
      <x:c r="B31" s="27"/>
      <x:c r="C31" s="28"/>
      <x:c r="D31" s="136"/>
      <x:c r="E31" s="64"/>
      <x:c r="F31" s="136">
        <x:v>2</x:v>
      </x:c>
      <x:c r="G31" s="143" t="s">
        <x:v>426</x:v>
      </x:c>
      <x:c r="H31" s="15"/>
      <x:c r="I31" s="15" t="s">
        <x:v>404</x:v>
      </x:c>
      <x:c r="J31" s="15" t="s">
        <x:v>405</x:v>
      </x:c>
      <x:c r="K31" s="90">
        <x:v>1</x:v>
      </x:c>
      <x:c r="L31" s="90" t="s">
        <x:v>406</x:v>
      </x:c>
      <x:c r="M31" s="90" t="s">
        <x:v>407</x:v>
      </x:c>
    </x:row>
    <x:row r="32" ht="7.900000095367432" customHeight="1">
      <x:c r="A32" s="1"/>
      <x:c r="B32" s="27"/>
      <x:c r="C32" s="28"/>
      <x:c r="D32" s="136"/>
      <x:c r="E32" s="64"/>
      <x:c r="F32" s="136"/>
      <x:c r="G32" s="29"/>
      <x:c r="H32" s="15"/>
      <x:c r="I32" s="15"/>
      <x:c r="J32" s="15"/>
      <x:c r="K32" s="90"/>
      <x:c r="L32" s="90"/>
      <x:c r="M32" s="90"/>
    </x:row>
    <x:row r="33" ht="8.25" customHeight="1">
      <x:c r="A33" s="1"/>
      <x:c r="B33" s="13"/>
      <x:c r="C33" s="15"/>
      <x:c r="D33" s="13"/>
      <x:c r="E33" s="15"/>
      <x:c r="F33" s="13"/>
      <x:c r="G33" s="412"/>
      <x:c r="H33" s="15"/>
      <x:c r="I33" s="15"/>
      <x:c r="J33" s="15"/>
      <x:c r="K33" s="90"/>
      <x:c r="L33" s="90"/>
      <x:c r="M33" s="90"/>
    </x:row>
    <x:row r="34" ht="7.5" customHeight="1">
      <x:c r="A34" s="1"/>
      <x:c r="B34" s="13"/>
      <x:c r="C34" s="15"/>
      <x:c r="D34" s="13"/>
      <x:c r="E34" s="15"/>
      <x:c r="F34" s="13"/>
      <x:c r="G34" s="412"/>
      <x:c r="H34" s="15"/>
      <x:c r="I34" s="15"/>
      <x:c r="J34" s="15"/>
      <x:c r="K34" s="90"/>
      <x:c r="L34" s="90"/>
      <x:c r="M34" s="90"/>
    </x:row>
    <x:row r="35" ht="6" customHeight="1">
      <x:c r="A35" s="1"/>
      <x:c r="B35" s="3"/>
      <x:c r="C35" s="1"/>
      <x:c r="D35" s="3"/>
      <x:c r="E35" s="1"/>
      <x:c r="F35" s="3"/>
      <x:c r="G35" s="1"/>
      <x:c r="H35" s="1"/>
      <x:c r="I35" s="1"/>
      <x:c r="J35" s="1"/>
    </x:row>
    <x:row r="36" ht="7.900000095367432" customHeight="1">
      <x:c r="A36" s="1"/>
      <x:c r="B36" s="3"/>
      <x:c r="C36" s="1"/>
      <x:c r="D36" s="3"/>
      <x:c r="E36" s="1"/>
      <x:c r="F36" s="3"/>
      <x:c r="G36" s="1"/>
      <x:c r="H36" s="1"/>
      <x:c r="I36" s="1"/>
      <x:c r="J36" s="1"/>
    </x:row>
    <x:row r="37" ht="6.75" customHeight="1">
      <x:c r="A37" s="1"/>
      <x:c r="B37" s="3"/>
      <x:c r="C37" s="1"/>
      <x:c r="D37" s="3"/>
      <x:c r="E37" s="1"/>
      <x:c r="F37" s="3"/>
      <x:c r="G37" s="1"/>
      <x:c r="H37" s="1"/>
      <x:c r="I37" s="1"/>
      <x:c r="J37" s="1"/>
    </x:row>
    <x:row r="38" ht="6" customHeight="1">
      <x:c r="A38" s="1"/>
      <x:c r="B38" s="3"/>
      <x:c r="C38" s="1"/>
      <x:c r="D38" s="3"/>
      <x:c r="E38" s="1"/>
      <x:c r="F38" s="3"/>
      <x:c r="G38" s="1"/>
      <x:c r="H38" s="1"/>
      <x:c r="I38" s="1"/>
      <x:c r="J38" s="1"/>
    </x:row>
    <x:row r="39" ht="6" customHeight="1">
      <x:c r="A39" s="1"/>
      <x:c r="B39" s="3"/>
      <x:c r="C39" s="1"/>
      <x:c r="D39" s="3"/>
      <x:c r="E39" s="1"/>
      <x:c r="F39" s="3"/>
      <x:c r="G39" s="1"/>
      <x:c r="H39" s="1"/>
      <x:c r="I39" s="1"/>
      <x:c r="J39" s="1"/>
    </x:row>
    <x:row r="40" ht="6" customHeight="1">
      <x:c r="A40" s="1"/>
      <x:c r="B40" s="3"/>
      <x:c r="C40" s="1"/>
      <x:c r="D40" s="3"/>
      <x:c r="E40" s="1"/>
      <x:c r="F40" s="3"/>
      <x:c r="G40" s="1"/>
      <x:c r="H40" s="1"/>
      <x:c r="I40" s="1"/>
      <x:c r="J40" s="1"/>
    </x:row>
    <x:row r="41" ht="6" customHeight="1">
      <x:c r="A41" s="1"/>
      <x:c r="B41" s="3"/>
      <x:c r="C41" s="1"/>
      <x:c r="D41" s="3"/>
      <x:c r="E41" s="1"/>
      <x:c r="F41" s="3"/>
      <x:c r="G41" s="1"/>
      <x:c r="H41" s="1"/>
      <x:c r="I41" s="1"/>
      <x:c r="J41" s="1"/>
    </x:row>
    <x:row r="42" ht="6" customHeight="1">
      <x:c r="A42" s="1"/>
      <x:c r="B42" s="3"/>
      <x:c r="C42" s="1"/>
      <x:c r="D42" s="3"/>
      <x:c r="E42" s="1"/>
      <x:c r="F42" s="3"/>
      <x:c r="G42" s="1"/>
      <x:c r="H42" s="1"/>
      <x:c r="I42" s="1"/>
      <x:c r="J42" s="1"/>
    </x:row>
    <x:row r="43" ht="6" customHeight="1">
      <x:c r="A43" s="1"/>
      <x:c r="B43" s="3"/>
      <x:c r="C43" s="1"/>
      <x:c r="D43" s="3"/>
      <x:c r="E43" s="1"/>
      <x:c r="F43" s="3"/>
      <x:c r="G43" s="1"/>
      <x:c r="H43" s="1"/>
      <x:c r="I43" s="1"/>
      <x:c r="J43" s="1"/>
    </x:row>
    <x:row r="44" ht="6" customHeight="1">
      <x:c r="A44" s="1"/>
      <x:c r="B44" s="3"/>
      <x:c r="C44" s="1"/>
      <x:c r="D44" s="3"/>
      <x:c r="E44" s="1"/>
      <x:c r="F44" s="3"/>
      <x:c r="G44" s="1"/>
      <x:c r="H44" s="1"/>
      <x:c r="I44" s="1"/>
      <x:c r="J44" s="1"/>
    </x:row>
    <x:row r="45" ht="6" customHeight="1">
      <x:c r="A45" s="1"/>
      <x:c r="B45" s="3"/>
      <x:c r="C45" s="1"/>
      <x:c r="D45" s="3"/>
      <x:c r="E45" s="1"/>
      <x:c r="F45" s="3"/>
      <x:c r="G45" s="1"/>
      <x:c r="H45" s="1"/>
      <x:c r="I45" s="1"/>
      <x:c r="J45" s="1"/>
    </x:row>
    <x:row r="46" ht="6" customHeight="1">
      <x:c r="A46" s="1"/>
      <x:c r="B46" s="3"/>
      <x:c r="C46" s="1"/>
      <x:c r="D46" s="3"/>
      <x:c r="E46" s="1"/>
      <x:c r="F46" s="3"/>
      <x:c r="G46" s="1"/>
      <x:c r="H46" s="1"/>
      <x:c r="I46" s="1"/>
      <x:c r="J46" s="1"/>
    </x:row>
    <x:row r="47" ht="6" customHeight="1">
      <x:c r="A47" s="1"/>
      <x:c r="B47" s="3"/>
      <x:c r="C47" s="1"/>
      <x:c r="D47" s="3"/>
      <x:c r="E47" s="1"/>
      <x:c r="F47" s="3"/>
      <x:c r="G47" s="1"/>
      <x:c r="H47" s="1"/>
      <x:c r="I47" s="1"/>
      <x:c r="J47" s="1"/>
    </x:row>
    <x:row r="48" ht="6" customHeight="1">
      <x:c r="A48" s="1"/>
      <x:c r="B48" s="3"/>
      <x:c r="C48" s="1"/>
      <x:c r="D48" s="3"/>
      <x:c r="E48" s="1"/>
      <x:c r="F48" s="3"/>
      <x:c r="G48" s="1"/>
      <x:c r="H48" s="1"/>
      <x:c r="I48" s="1"/>
      <x:c r="J48" s="1"/>
    </x:row>
    <x:row r="49" ht="6" customHeight="1">
      <x:c r="A49" s="1"/>
      <x:c r="B49" s="3"/>
      <x:c r="C49" s="1"/>
      <x:c r="D49" s="3"/>
      <x:c r="E49" s="1"/>
      <x:c r="F49" s="3"/>
      <x:c r="G49" s="1"/>
      <x:c r="H49" s="1"/>
      <x:c r="I49" s="1"/>
      <x:c r="J49" s="1"/>
    </x:row>
    <x:row r="50" ht="6" customHeight="1">
      <x:c r="A50" s="1"/>
      <x:c r="B50" s="3"/>
      <x:c r="C50" s="1"/>
      <x:c r="D50" s="3"/>
      <x:c r="E50" s="1"/>
      <x:c r="F50" s="3"/>
      <x:c r="G50" s="1"/>
      <x:c r="H50" s="1"/>
      <x:c r="I50" s="1"/>
      <x:c r="J50" s="1"/>
    </x:row>
    <x:row r="51" ht="6" customHeight="1">
      <x:c r="A51" s="1"/>
      <x:c r="B51" s="3"/>
      <x:c r="C51" s="1"/>
      <x:c r="D51" s="3"/>
      <x:c r="E51" s="1"/>
      <x:c r="F51" s="3"/>
      <x:c r="G51" s="1"/>
      <x:c r="H51" s="1"/>
      <x:c r="I51" s="1"/>
      <x:c r="J51" s="1"/>
    </x:row>
    <x:row r="52" ht="6" customHeight="1">
      <x:c r="A52" s="1"/>
      <x:c r="B52" s="3"/>
      <x:c r="C52" s="1"/>
      <x:c r="D52" s="3"/>
      <x:c r="E52" s="1"/>
      <x:c r="F52" s="3"/>
      <x:c r="G52" s="1"/>
      <x:c r="H52" s="1"/>
      <x:c r="I52" s="1"/>
      <x:c r="J52" s="1"/>
    </x:row>
    <x:row r="53" ht="6" customHeight="1">
      <x:c r="A53" s="1"/>
      <x:c r="B53" s="3"/>
      <x:c r="C53" s="1"/>
      <x:c r="D53" s="3"/>
      <x:c r="E53" s="1"/>
      <x:c r="F53" s="3"/>
      <x:c r="G53" s="1"/>
      <x:c r="H53" s="1"/>
      <x:c r="I53" s="1"/>
      <x:c r="J53" s="1"/>
    </x:row>
    <x:row r="54" ht="6" customHeight="1">
      <x:c r="A54" s="1"/>
      <x:c r="B54" s="3"/>
      <x:c r="C54" s="1"/>
      <x:c r="D54" s="3"/>
      <x:c r="E54" s="1"/>
      <x:c r="F54" s="3"/>
      <x:c r="G54" s="1"/>
      <x:c r="H54" s="1"/>
      <x:c r="I54" s="1"/>
      <x:c r="J54" s="1"/>
    </x:row>
    <x:row r="55" ht="6" customHeight="1">
      <x:c r="A55" s="1"/>
      <x:c r="B55" s="3"/>
      <x:c r="C55" s="1"/>
      <x:c r="D55" s="3"/>
      <x:c r="E55" s="1"/>
      <x:c r="F55" s="3"/>
      <x:c r="G55" s="1"/>
      <x:c r="H55" s="1"/>
      <x:c r="I55" s="1"/>
      <x:c r="J55" s="1"/>
    </x:row>
    <x:row r="56" ht="6" customHeight="1">
      <x:c r="A56" s="1"/>
      <x:c r="B56" s="3"/>
      <x:c r="C56" s="1"/>
      <x:c r="D56" s="3"/>
      <x:c r="E56" s="1"/>
      <x:c r="F56" s="3"/>
      <x:c r="G56" s="1"/>
      <x:c r="H56" s="1"/>
      <x:c r="I56" s="1"/>
      <x:c r="J56" s="1"/>
    </x:row>
    <x:row r="57" ht="6" customHeight="1">
      <x:c r="A57" s="1"/>
      <x:c r="B57" s="3"/>
      <x:c r="C57" s="1"/>
      <x:c r="D57" s="3"/>
      <x:c r="E57" s="1"/>
      <x:c r="F57" s="3"/>
      <x:c r="G57" s="1"/>
      <x:c r="H57" s="1"/>
      <x:c r="I57" s="1"/>
      <x:c r="J57" s="1"/>
    </x:row>
    <x:row r="58" ht="6" customHeight="1">
      <x:c r="A58" s="1"/>
      <x:c r="B58" s="3"/>
      <x:c r="C58" s="1"/>
      <x:c r="D58" s="3"/>
      <x:c r="E58" s="1"/>
      <x:c r="F58" s="3"/>
      <x:c r="G58" s="1"/>
      <x:c r="H58" s="1"/>
      <x:c r="I58" s="1"/>
      <x:c r="J58" s="1"/>
    </x:row>
    <x:row r="59" ht="6" customHeight="1">
      <x:c r="A59" s="1"/>
      <x:c r="B59" s="3"/>
      <x:c r="C59" s="1"/>
      <x:c r="D59" s="3"/>
      <x:c r="E59" s="1"/>
      <x:c r="F59" s="3"/>
      <x:c r="G59" s="1"/>
      <x:c r="H59" s="1"/>
      <x:c r="I59" s="1"/>
      <x:c r="J59" s="1"/>
    </x:row>
    <x:row r="60" ht="6" customHeight="1">
      <x:c r="A60" s="1"/>
      <x:c r="B60" s="3"/>
      <x:c r="C60" s="1"/>
      <x:c r="D60" s="3"/>
      <x:c r="E60" s="1"/>
      <x:c r="F60" s="3"/>
      <x:c r="G60" s="1"/>
      <x:c r="H60" s="1"/>
      <x:c r="I60" s="1"/>
      <x:c r="J60" s="1"/>
    </x:row>
    <x:row r="61" ht="6" customHeight="1">
      <x:c r="A61" s="1"/>
      <x:c r="B61" s="3"/>
      <x:c r="C61" s="1"/>
      <x:c r="D61" s="3"/>
      <x:c r="E61" s="1"/>
      <x:c r="F61" s="3"/>
      <x:c r="G61" s="1"/>
      <x:c r="H61" s="1"/>
      <x:c r="I61" s="1"/>
      <x:c r="J61" s="1"/>
    </x:row>
    <x:row r="62" ht="6" customHeight="1">
      <x:c r="A62" s="1"/>
      <x:c r="B62" s="3"/>
      <x:c r="C62" s="1"/>
      <x:c r="D62" s="3"/>
      <x:c r="E62" s="1"/>
      <x:c r="F62" s="3"/>
      <x:c r="G62" s="1"/>
      <x:c r="H62" s="1"/>
      <x:c r="I62" s="1"/>
      <x:c r="J62" s="1"/>
    </x:row>
    <x:row r="63" ht="6" customHeight="1">
      <x:c r="A63" s="1"/>
      <x:c r="B63" s="3"/>
      <x:c r="C63" s="1"/>
      <x:c r="D63" s="3"/>
      <x:c r="E63" s="1"/>
      <x:c r="F63" s="3"/>
      <x:c r="G63" s="1"/>
      <x:c r="H63" s="1"/>
      <x:c r="I63" s="1"/>
      <x:c r="J63" s="1"/>
    </x:row>
    <x:row r="64" ht="6" customHeight="1">
      <x:c r="A64" s="1"/>
      <x:c r="B64" s="3"/>
      <x:c r="C64" s="1"/>
      <x:c r="D64" s="3"/>
      <x:c r="E64" s="1"/>
      <x:c r="F64" s="3"/>
      <x:c r="G64" s="1"/>
      <x:c r="H64" s="1"/>
      <x:c r="I64" s="1"/>
      <x:c r="J64" s="1"/>
    </x:row>
    <x:row r="65" ht="6" customHeight="1">
      <x:c r="A65" s="1"/>
      <x:c r="B65" s="3"/>
      <x:c r="C65" s="1"/>
      <x:c r="D65" s="3"/>
      <x:c r="E65" s="1"/>
      <x:c r="F65" s="3"/>
      <x:c r="G65" s="1"/>
      <x:c r="H65" s="1"/>
      <x:c r="I65" s="1"/>
      <x:c r="J65" s="1"/>
    </x:row>
    <x:row r="66" ht="6" customHeight="1">
      <x:c r="A66" s="1"/>
      <x:c r="B66" s="3"/>
      <x:c r="C66" s="1"/>
      <x:c r="D66" s="3"/>
      <x:c r="E66" s="1"/>
      <x:c r="F66" s="3"/>
      <x:c r="G66" s="1"/>
      <x:c r="H66" s="1"/>
      <x:c r="I66" s="1"/>
      <x:c r="J66" s="1"/>
    </x:row>
    <x:row r="67" ht="6" customHeight="1">
      <x:c r="A67" s="1"/>
      <x:c r="B67" s="3"/>
      <x:c r="C67" s="1"/>
      <x:c r="D67" s="3"/>
      <x:c r="E67" s="1"/>
      <x:c r="F67" s="3"/>
      <x:c r="G67" s="1"/>
      <x:c r="H67" s="1"/>
      <x:c r="I67" s="1"/>
      <x:c r="J67" s="1"/>
    </x:row>
    <x:row r="68" ht="6" customHeight="1">
      <x:c r="A68" s="1"/>
      <x:c r="B68" s="3"/>
      <x:c r="C68" s="1"/>
      <x:c r="D68" s="3"/>
      <x:c r="E68" s="1"/>
      <x:c r="F68" s="3"/>
      <x:c r="G68" s="1"/>
      <x:c r="H68" s="1"/>
      <x:c r="I68" s="1"/>
      <x:c r="J68" s="1"/>
    </x:row>
    <x:row r="69" ht="6" customHeight="1">
      <x:c r="A69" s="1"/>
      <x:c r="B69" s="3"/>
      <x:c r="C69" s="1"/>
      <x:c r="D69" s="3"/>
      <x:c r="E69" s="1"/>
      <x:c r="F69" s="3"/>
      <x:c r="G69" s="1"/>
      <x:c r="H69" s="1"/>
      <x:c r="I69" s="1"/>
      <x:c r="J69" s="1"/>
    </x:row>
    <x:row r="70" ht="6" customHeight="1">
      <x:c r="A70" s="1"/>
      <x:c r="B70" s="3"/>
      <x:c r="C70" s="1"/>
      <x:c r="D70" s="3"/>
      <x:c r="E70" s="1"/>
      <x:c r="F70" s="3"/>
      <x:c r="G70" s="1"/>
      <x:c r="H70" s="1"/>
      <x:c r="I70" s="1"/>
      <x:c r="J70" s="1"/>
    </x:row>
    <x:row r="71" ht="6" customHeight="1">
      <x:c r="A71" s="1"/>
      <x:c r="B71" s="3"/>
      <x:c r="C71" s="1"/>
      <x:c r="D71" s="3"/>
      <x:c r="E71" s="1"/>
      <x:c r="F71" s="3"/>
      <x:c r="G71" s="1"/>
      <x:c r="H71" s="1"/>
      <x:c r="I71" s="1"/>
      <x:c r="J71" s="1"/>
    </x:row>
    <x:row r="72" ht="6" customHeight="1">
      <x:c r="A72" s="1"/>
      <x:c r="B72" s="3"/>
      <x:c r="C72" s="1"/>
      <x:c r="D72" s="3"/>
      <x:c r="E72" s="1"/>
      <x:c r="F72" s="3"/>
      <x:c r="G72" s="1"/>
      <x:c r="H72" s="1"/>
      <x:c r="I72" s="1"/>
      <x:c r="J72" s="1"/>
    </x:row>
    <x:row r="73" ht="6" customHeight="1">
      <x:c r="A73" s="1"/>
      <x:c r="B73" s="3"/>
      <x:c r="C73" s="1"/>
      <x:c r="D73" s="3"/>
      <x:c r="E73" s="1"/>
      <x:c r="F73" s="3"/>
      <x:c r="G73" s="1"/>
      <x:c r="H73" s="1"/>
      <x:c r="I73" s="1"/>
      <x:c r="J73" s="1"/>
    </x:row>
    <x:row r="74" ht="6" customHeight="1">
      <x:c r="A74" s="1"/>
      <x:c r="B74" s="3"/>
      <x:c r="C74" s="1"/>
      <x:c r="D74" s="3"/>
      <x:c r="E74" s="1"/>
      <x:c r="F74" s="3"/>
      <x:c r="G74" s="1"/>
      <x:c r="H74" s="1"/>
      <x:c r="I74" s="1"/>
      <x:c r="J74" s="1"/>
    </x:row>
    <x:row r="75" ht="6" customHeight="1">
      <x:c r="A75" s="1"/>
      <x:c r="B75" s="3"/>
      <x:c r="C75" s="1"/>
      <x:c r="D75" s="3"/>
      <x:c r="E75" s="1"/>
      <x:c r="F75" s="3"/>
      <x:c r="G75" s="1"/>
      <x:c r="H75" s="1"/>
      <x:c r="I75" s="1"/>
      <x:c r="J75" s="1"/>
    </x:row>
    <x:row r="76" ht="6" customHeight="1">
      <x:c r="A76" s="1"/>
      <x:c r="B76" s="3"/>
      <x:c r="C76" s="1"/>
      <x:c r="D76" s="3"/>
      <x:c r="E76" s="1"/>
      <x:c r="F76" s="3"/>
      <x:c r="G76" s="1"/>
      <x:c r="H76" s="1"/>
      <x:c r="I76" s="1"/>
      <x:c r="J76" s="1"/>
    </x:row>
    <x:row r="77" ht="6" customHeight="1">
      <x:c r="A77" s="1"/>
      <x:c r="B77" s="3"/>
      <x:c r="C77" s="1"/>
      <x:c r="D77" s="3"/>
      <x:c r="E77" s="1"/>
      <x:c r="F77" s="3"/>
      <x:c r="G77" s="1"/>
      <x:c r="H77" s="1"/>
      <x:c r="I77" s="1"/>
      <x:c r="J77" s="1"/>
    </x:row>
    <x:row r="78" ht="6" customHeight="1">
      <x:c r="A78" s="1"/>
      <x:c r="B78" s="3"/>
      <x:c r="C78" s="1"/>
      <x:c r="D78" s="3"/>
      <x:c r="E78" s="1"/>
      <x:c r="F78" s="3"/>
      <x:c r="G78" s="1"/>
      <x:c r="H78" s="1"/>
      <x:c r="I78" s="1"/>
      <x:c r="J78" s="1"/>
    </x:row>
    <x:row r="79" ht="6" customHeight="1">
      <x:c r="A79" s="1"/>
      <x:c r="B79" s="3"/>
      <x:c r="C79" s="1"/>
      <x:c r="D79" s="3"/>
      <x:c r="E79" s="1"/>
      <x:c r="F79" s="3"/>
      <x:c r="G79" s="1"/>
      <x:c r="H79" s="1"/>
      <x:c r="I79" s="1"/>
      <x:c r="J79" s="1"/>
    </x:row>
    <x:row r="80" ht="6" customHeight="1">
      <x:c r="A80" s="1"/>
      <x:c r="B80" s="3"/>
      <x:c r="C80" s="1"/>
      <x:c r="D80" s="3"/>
      <x:c r="E80" s="1"/>
      <x:c r="F80" s="3"/>
      <x:c r="G80" s="1"/>
      <x:c r="H80" s="1"/>
      <x:c r="I80" s="1"/>
      <x:c r="J80" s="1"/>
    </x:row>
    <x:row r="81" ht="6" customHeight="1">
      <x:c r="A81" s="1"/>
      <x:c r="B81" s="3"/>
      <x:c r="C81" s="1"/>
      <x:c r="D81" s="3"/>
      <x:c r="E81" s="1"/>
      <x:c r="F81" s="3"/>
      <x:c r="G81" s="1"/>
      <x:c r="H81" s="1"/>
      <x:c r="I81" s="1"/>
      <x:c r="J81" s="1"/>
    </x:row>
    <x:row r="82" ht="6" customHeight="1">
      <x:c r="A82" s="1"/>
      <x:c r="B82" s="3"/>
      <x:c r="C82" s="1"/>
      <x:c r="D82" s="3"/>
      <x:c r="E82" s="1"/>
      <x:c r="F82" s="3"/>
      <x:c r="G82" s="1"/>
      <x:c r="H82" s="1"/>
      <x:c r="I82" s="1"/>
      <x:c r="J82" s="1"/>
    </x:row>
    <x:row r="83" ht="6" customHeight="1">
      <x:c r="A83" s="1"/>
      <x:c r="B83" s="3"/>
      <x:c r="C83" s="1"/>
      <x:c r="D83" s="3"/>
      <x:c r="E83" s="1"/>
      <x:c r="F83" s="3"/>
      <x:c r="G83" s="1"/>
      <x:c r="H83" s="1"/>
      <x:c r="I83" s="1"/>
      <x:c r="J83" s="1"/>
    </x:row>
    <x:row r="84" ht="6" customHeight="1">
      <x:c r="A84" s="1"/>
      <x:c r="B84" s="3"/>
      <x:c r="C84" s="1"/>
      <x:c r="D84" s="3"/>
      <x:c r="E84" s="1"/>
      <x:c r="F84" s="3"/>
      <x:c r="G84" s="1"/>
      <x:c r="H84" s="1"/>
      <x:c r="I84" s="1"/>
      <x:c r="J84" s="1"/>
    </x:row>
    <x:row r="85" ht="6" customHeight="1">
      <x:c r="A85" s="1"/>
      <x:c r="B85" s="3"/>
      <x:c r="C85" s="1"/>
      <x:c r="D85" s="3"/>
      <x:c r="E85" s="1"/>
      <x:c r="F85" s="3"/>
      <x:c r="G85" s="1"/>
      <x:c r="H85" s="1"/>
      <x:c r="I85" s="1"/>
      <x:c r="J85" s="1"/>
    </x:row>
    <x:row r="86" ht="6" customHeight="1">
      <x:c r="A86" s="1"/>
      <x:c r="B86" s="3"/>
      <x:c r="C86" s="1"/>
      <x:c r="D86" s="3"/>
      <x:c r="E86" s="1"/>
      <x:c r="F86" s="3"/>
      <x:c r="G86" s="1"/>
      <x:c r="H86" s="1"/>
      <x:c r="I86" s="1"/>
      <x:c r="J86" s="1"/>
    </x:row>
    <x:row r="87" ht="6" customHeight="1">
      <x:c r="A87" s="1"/>
      <x:c r="B87" s="3"/>
      <x:c r="C87" s="1"/>
      <x:c r="D87" s="3"/>
      <x:c r="E87" s="1"/>
      <x:c r="F87" s="3"/>
      <x:c r="G87" s="1"/>
      <x:c r="H87" s="1"/>
      <x:c r="I87" s="1"/>
      <x:c r="J87" s="1"/>
    </x:row>
    <x:row r="88" ht="6" customHeight="1">
      <x:c r="A88" s="1"/>
      <x:c r="B88" s="3"/>
      <x:c r="C88" s="1"/>
      <x:c r="D88" s="3"/>
      <x:c r="E88" s="1"/>
      <x:c r="F88" s="3"/>
      <x:c r="G88" s="1"/>
      <x:c r="H88" s="1"/>
      <x:c r="I88" s="1"/>
      <x:c r="J88" s="1"/>
    </x:row>
    <x:row r="89" ht="6" customHeight="1">
      <x:c r="A89" s="1"/>
      <x:c r="B89" s="3"/>
      <x:c r="C89" s="1"/>
      <x:c r="D89" s="3"/>
      <x:c r="E89" s="1"/>
      <x:c r="F89" s="3"/>
      <x:c r="G89" s="1"/>
      <x:c r="H89" s="1"/>
      <x:c r="I89" s="1"/>
      <x:c r="J89" s="1"/>
    </x:row>
    <x:row r="90" ht="6" customHeight="1">
      <x:c r="A90" s="1"/>
      <x:c r="B90" s="3"/>
      <x:c r="C90" s="1"/>
      <x:c r="D90" s="3"/>
      <x:c r="E90" s="1"/>
      <x:c r="F90" s="3"/>
      <x:c r="G90" s="1"/>
      <x:c r="H90" s="1"/>
      <x:c r="I90" s="1"/>
      <x:c r="J90" s="1"/>
    </x:row>
    <x:row r="91" ht="6" customHeight="1">
      <x:c r="A91" s="1"/>
      <x:c r="B91" s="3"/>
      <x:c r="C91" s="1"/>
      <x:c r="D91" s="3"/>
      <x:c r="E91" s="1"/>
      <x:c r="F91" s="3"/>
      <x:c r="G91" s="1"/>
      <x:c r="H91" s="1"/>
      <x:c r="I91" s="1"/>
      <x:c r="J91" s="1"/>
    </x:row>
    <x:row r="92" ht="6" customHeight="1">
      <x:c r="A92" s="1"/>
      <x:c r="B92" s="3"/>
      <x:c r="C92" s="1"/>
      <x:c r="D92" s="3"/>
      <x:c r="E92" s="1"/>
      <x:c r="F92" s="3"/>
      <x:c r="G92" s="1"/>
      <x:c r="H92" s="1"/>
      <x:c r="I92" s="1"/>
      <x:c r="J92" s="1"/>
    </x:row>
    <x:row r="93" ht="6" customHeight="1">
      <x:c r="A93" s="1"/>
      <x:c r="B93" s="3"/>
      <x:c r="C93" s="1"/>
      <x:c r="D93" s="3"/>
      <x:c r="E93" s="1"/>
      <x:c r="F93" s="3"/>
      <x:c r="G93" s="1"/>
      <x:c r="H93" s="1"/>
      <x:c r="I93" s="1"/>
      <x:c r="J93" s="1"/>
    </x:row>
    <x:row r="94" ht="6" customHeight="1">
      <x:c r="A94" s="1"/>
      <x:c r="B94" s="3"/>
      <x:c r="C94" s="1"/>
      <x:c r="D94" s="3"/>
      <x:c r="E94" s="1"/>
      <x:c r="F94" s="3"/>
      <x:c r="G94" s="1"/>
      <x:c r="H94" s="1"/>
      <x:c r="I94" s="1"/>
      <x:c r="J94" s="1"/>
    </x:row>
    <x:row r="95" ht="6" customHeight="1">
      <x:c r="A95" s="1"/>
      <x:c r="B95" s="3"/>
      <x:c r="C95" s="1"/>
      <x:c r="D95" s="3"/>
      <x:c r="E95" s="1"/>
      <x:c r="F95" s="3"/>
      <x:c r="G95" s="1"/>
      <x:c r="H95" s="1"/>
      <x:c r="I95" s="1"/>
      <x:c r="J95" s="1"/>
    </x:row>
    <x:row r="96" ht="6" customHeight="1">
      <x:c r="A96" s="1"/>
      <x:c r="B96" s="3"/>
      <x:c r="C96" s="1"/>
      <x:c r="D96" s="3"/>
      <x:c r="E96" s="1"/>
      <x:c r="F96" s="3"/>
      <x:c r="G96" s="1"/>
      <x:c r="H96" s="1"/>
      <x:c r="I96" s="1"/>
      <x:c r="J96" s="1"/>
    </x:row>
    <x:row r="97" ht="6" customHeight="1">
      <x:c r="A97" s="1"/>
      <x:c r="B97" s="3"/>
      <x:c r="C97" s="1"/>
      <x:c r="D97" s="3"/>
      <x:c r="E97" s="1"/>
      <x:c r="F97" s="3"/>
      <x:c r="G97" s="1"/>
      <x:c r="H97" s="1"/>
      <x:c r="I97" s="1"/>
      <x:c r="J97" s="1"/>
    </x:row>
    <x:row r="98" ht="6" customHeight="1">
      <x:c r="A98" s="1"/>
      <x:c r="B98" s="3"/>
      <x:c r="C98" s="1"/>
      <x:c r="D98" s="3"/>
      <x:c r="E98" s="1"/>
      <x:c r="F98" s="3"/>
      <x:c r="G98" s="1"/>
      <x:c r="H98" s="1"/>
      <x:c r="I98" s="1"/>
      <x:c r="J98" s="1"/>
    </x:row>
    <x:row r="99" ht="6" customHeight="1">
      <x:c r="A99" s="1"/>
      <x:c r="B99" s="3"/>
      <x:c r="C99" s="1"/>
      <x:c r="D99" s="3"/>
      <x:c r="E99" s="1"/>
      <x:c r="F99" s="3"/>
      <x:c r="G99" s="1"/>
      <x:c r="H99" s="1"/>
      <x:c r="I99" s="1"/>
      <x:c r="J99" s="1"/>
    </x:row>
    <x:row r="100" ht="6" customHeight="1">
      <x:c r="A100" s="1"/>
      <x:c r="B100" s="3"/>
      <x:c r="C100" s="1"/>
      <x:c r="D100" s="3"/>
      <x:c r="E100" s="1"/>
      <x:c r="F100" s="3"/>
      <x:c r="G100" s="1"/>
      <x:c r="H100" s="1"/>
      <x:c r="I100" s="1"/>
      <x:c r="J100" s="1"/>
    </x:row>
    <x:row r="101" ht="6" customHeight="1">
      <x:c r="A101" s="1"/>
      <x:c r="B101" s="3"/>
      <x:c r="C101" s="1"/>
      <x:c r="D101" s="3"/>
      <x:c r="E101" s="1"/>
      <x:c r="F101" s="3"/>
      <x:c r="G101" s="1"/>
      <x:c r="H101" s="1"/>
      <x:c r="I101" s="1"/>
      <x:c r="J101" s="1"/>
    </x:row>
    <x:row r="102" ht="6" customHeight="1">
      <x:c r="A102" s="1"/>
      <x:c r="B102" s="3"/>
      <x:c r="C102" s="1"/>
      <x:c r="D102" s="3"/>
      <x:c r="E102" s="1"/>
      <x:c r="F102" s="3"/>
      <x:c r="G102" s="1"/>
      <x:c r="H102" s="1"/>
      <x:c r="I102" s="1"/>
      <x:c r="J102" s="1"/>
    </x:row>
    <x:row r="103" ht="6" customHeight="1">
      <x:c r="A103" s="1"/>
      <x:c r="B103" s="3"/>
      <x:c r="C103" s="1"/>
      <x:c r="D103" s="3"/>
      <x:c r="E103" s="1"/>
      <x:c r="F103" s="3"/>
      <x:c r="G103" s="1"/>
      <x:c r="H103" s="1"/>
      <x:c r="I103" s="1"/>
      <x:c r="J103" s="1"/>
    </x:row>
    <x:row r="104" ht="6" customHeight="1">
      <x:c r="A104" s="1"/>
      <x:c r="B104" s="3"/>
      <x:c r="C104" s="1"/>
      <x:c r="D104" s="3"/>
      <x:c r="E104" s="1"/>
      <x:c r="F104" s="3"/>
      <x:c r="G104" s="1"/>
      <x:c r="H104" s="1"/>
      <x:c r="I104" s="1"/>
      <x:c r="J104" s="1"/>
    </x:row>
    <x:row r="105" ht="6" customHeight="1">
      <x:c r="A105" s="1"/>
      <x:c r="B105" s="3"/>
      <x:c r="C105" s="1"/>
      <x:c r="D105" s="3"/>
      <x:c r="E105" s="1"/>
      <x:c r="F105" s="3"/>
      <x:c r="G105" s="1"/>
      <x:c r="H105" s="1"/>
      <x:c r="I105" s="1"/>
      <x:c r="J105" s="1"/>
    </x:row>
    <x:row r="106" ht="6" customHeight="1">
      <x:c r="A106" s="1"/>
      <x:c r="B106" s="3"/>
      <x:c r="C106" s="1"/>
      <x:c r="D106" s="3"/>
      <x:c r="E106" s="1"/>
      <x:c r="F106" s="3"/>
      <x:c r="G106" s="1"/>
      <x:c r="H106" s="1"/>
      <x:c r="I106" s="1"/>
      <x:c r="J106" s="1"/>
    </x:row>
    <x:row r="107" ht="6" customHeight="1">
      <x:c r="A107" s="1"/>
      <x:c r="B107" s="3"/>
      <x:c r="C107" s="1"/>
      <x:c r="D107" s="3"/>
      <x:c r="E107" s="1"/>
      <x:c r="F107" s="3"/>
      <x:c r="G107" s="1"/>
      <x:c r="H107" s="1"/>
      <x:c r="I107" s="1"/>
      <x:c r="J107" s="1"/>
    </x:row>
    <x:row r="108" ht="6" customHeight="1">
      <x:c r="A108" s="1"/>
      <x:c r="B108" s="3"/>
      <x:c r="C108" s="1"/>
      <x:c r="D108" s="3"/>
      <x:c r="E108" s="1"/>
      <x:c r="F108" s="3"/>
      <x:c r="G108" s="1"/>
      <x:c r="H108" s="1"/>
      <x:c r="I108" s="1"/>
      <x:c r="J108" s="1"/>
    </x:row>
    <x:row r="109" ht="6" customHeight="1">
      <x:c r="A109" s="1"/>
      <x:c r="B109" s="3"/>
      <x:c r="C109" s="1"/>
      <x:c r="D109" s="3"/>
      <x:c r="E109" s="1"/>
      <x:c r="F109" s="3"/>
      <x:c r="G109" s="1"/>
      <x:c r="H109" s="1"/>
      <x:c r="I109" s="1"/>
      <x:c r="J109" s="1"/>
    </x:row>
    <x:row r="110" ht="6" customHeight="1">
      <x:c r="A110" s="1"/>
      <x:c r="B110" s="3"/>
      <x:c r="C110" s="1"/>
      <x:c r="D110" s="3"/>
      <x:c r="E110" s="1"/>
      <x:c r="F110" s="3"/>
      <x:c r="G110" s="1"/>
      <x:c r="H110" s="1"/>
      <x:c r="I110" s="1"/>
      <x:c r="J110" s="1"/>
    </x:row>
    <x:row r="111" ht="6" customHeight="1">
      <x:c r="A111" s="1"/>
      <x:c r="B111" s="3"/>
      <x:c r="C111" s="1"/>
      <x:c r="D111" s="3"/>
      <x:c r="E111" s="1"/>
      <x:c r="F111" s="3"/>
      <x:c r="G111" s="1"/>
      <x:c r="H111" s="1"/>
      <x:c r="I111" s="1"/>
      <x:c r="J111" s="1"/>
    </x:row>
    <x:row r="112" ht="6" customHeight="1">
      <x:c r="A112" s="1"/>
      <x:c r="B112" s="3"/>
      <x:c r="C112" s="1"/>
      <x:c r="D112" s="3"/>
      <x:c r="E112" s="1"/>
      <x:c r="F112" s="3"/>
      <x:c r="G112" s="1"/>
      <x:c r="H112" s="1"/>
      <x:c r="I112" s="1"/>
      <x:c r="J112" s="1"/>
    </x:row>
    <x:row r="113" ht="6" customHeight="1">
      <x:c r="A113" s="1"/>
      <x:c r="B113" s="3"/>
      <x:c r="C113" s="1"/>
      <x:c r="D113" s="3"/>
      <x:c r="E113" s="1"/>
      <x:c r="F113" s="3"/>
      <x:c r="G113" s="1"/>
      <x:c r="H113" s="1"/>
      <x:c r="I113" s="1"/>
      <x:c r="J113" s="1"/>
    </x:row>
    <x:row r="114" ht="6" customHeight="1">
      <x:c r="A114" s="1"/>
      <x:c r="B114" s="3"/>
      <x:c r="C114" s="1"/>
      <x:c r="D114" s="3"/>
      <x:c r="E114" s="1"/>
      <x:c r="F114" s="3"/>
      <x:c r="G114" s="1"/>
      <x:c r="H114" s="1"/>
      <x:c r="I114" s="1"/>
      <x:c r="J114" s="1"/>
    </x:row>
    <x:row r="115" ht="6" customHeight="1">
      <x:c r="A115" s="1"/>
      <x:c r="B115" s="3"/>
      <x:c r="C115" s="1"/>
      <x:c r="D115" s="3"/>
      <x:c r="E115" s="1"/>
      <x:c r="F115" s="3"/>
      <x:c r="G115" s="1"/>
      <x:c r="H115" s="1"/>
      <x:c r="I115" s="1"/>
      <x:c r="J115" s="1"/>
    </x:row>
    <x:row r="116" ht="6" customHeight="1">
      <x:c r="A116" s="1"/>
      <x:c r="B116" s="3"/>
      <x:c r="C116" s="1"/>
      <x:c r="D116" s="3"/>
      <x:c r="E116" s="1"/>
      <x:c r="F116" s="3"/>
      <x:c r="G116" s="1"/>
      <x:c r="H116" s="1"/>
      <x:c r="I116" s="1"/>
      <x:c r="J116" s="1"/>
    </x:row>
    <x:row r="117" ht="6" customHeight="1">
      <x:c r="A117" s="1"/>
      <x:c r="B117" s="3"/>
      <x:c r="C117" s="1"/>
      <x:c r="D117" s="3"/>
      <x:c r="E117" s="1"/>
      <x:c r="F117" s="3"/>
      <x:c r="G117" s="1"/>
      <x:c r="H117" s="1"/>
      <x:c r="I117" s="1"/>
      <x:c r="J117" s="1"/>
    </x:row>
    <x:row r="118" ht="6" customHeight="1">
      <x:c r="A118" s="1"/>
      <x:c r="B118" s="3"/>
      <x:c r="C118" s="1"/>
      <x:c r="D118" s="3"/>
      <x:c r="E118" s="1"/>
      <x:c r="F118" s="3"/>
      <x:c r="G118" s="1"/>
      <x:c r="H118" s="1"/>
      <x:c r="I118" s="1"/>
      <x:c r="J118" s="1"/>
    </x:row>
    <x:row r="119" ht="6" customHeight="1">
      <x:c r="A119" s="1"/>
      <x:c r="B119" s="3"/>
      <x:c r="C119" s="1"/>
      <x:c r="D119" s="3"/>
      <x:c r="E119" s="1"/>
      <x:c r="F119" s="3"/>
      <x:c r="G119" s="1"/>
      <x:c r="H119" s="1"/>
      <x:c r="I119" s="1"/>
      <x:c r="J119" s="1"/>
    </x:row>
    <x:row r="120" ht="6" customHeight="1">
      <x:c r="A120" s="1"/>
      <x:c r="B120" s="3"/>
      <x:c r="C120" s="1"/>
      <x:c r="D120" s="3"/>
      <x:c r="E120" s="1"/>
      <x:c r="F120" s="3"/>
      <x:c r="G120" s="1"/>
      <x:c r="H120" s="1"/>
      <x:c r="I120" s="1"/>
      <x:c r="J120" s="1"/>
    </x:row>
    <x:row r="121" ht="6" customHeight="1">
      <x:c r="A121" s="1"/>
      <x:c r="B121" s="3"/>
      <x:c r="C121" s="1"/>
      <x:c r="D121" s="3"/>
      <x:c r="E121" s="1"/>
      <x:c r="F121" s="3"/>
      <x:c r="G121" s="1"/>
      <x:c r="H121" s="1"/>
      <x:c r="I121" s="1"/>
      <x:c r="J121" s="1"/>
    </x:row>
    <x:row r="122" ht="6" customHeight="1">
      <x:c r="A122" s="1"/>
      <x:c r="B122" s="3"/>
      <x:c r="C122" s="1"/>
      <x:c r="D122" s="3"/>
      <x:c r="E122" s="1"/>
      <x:c r="F122" s="3"/>
      <x:c r="G122" s="1"/>
      <x:c r="H122" s="1"/>
      <x:c r="I122" s="1"/>
      <x:c r="J122" s="1"/>
    </x:row>
    <x:row r="123" ht="6" customHeight="1">
      <x:c r="A123" s="1"/>
      <x:c r="B123" s="3"/>
      <x:c r="C123" s="1"/>
      <x:c r="D123" s="3"/>
      <x:c r="E123" s="1"/>
      <x:c r="F123" s="3"/>
      <x:c r="G123" s="1"/>
      <x:c r="H123" s="1"/>
      <x:c r="I123" s="1"/>
      <x:c r="J123" s="1"/>
    </x:row>
    <x:row r="124" ht="6" customHeight="1">
      <x:c r="A124" s="1"/>
      <x:c r="B124" s="3"/>
      <x:c r="C124" s="1"/>
      <x:c r="D124" s="3"/>
      <x:c r="E124" s="1"/>
      <x:c r="F124" s="3"/>
      <x:c r="G124" s="1"/>
      <x:c r="H124" s="1"/>
      <x:c r="I124" s="1"/>
      <x:c r="J124" s="1"/>
    </x:row>
    <x:row r="125" ht="6" customHeight="1">
      <x:c r="A125" s="1"/>
      <x:c r="B125" s="3"/>
      <x:c r="C125" s="1"/>
      <x:c r="D125" s="3"/>
      <x:c r="E125" s="1"/>
      <x:c r="F125" s="3"/>
      <x:c r="G125" s="1"/>
      <x:c r="H125" s="1"/>
      <x:c r="I125" s="1"/>
      <x:c r="J125" s="1"/>
    </x:row>
    <x:row r="126" ht="6" customHeight="1">
      <x:c r="A126" s="1"/>
      <x:c r="B126" s="3"/>
      <x:c r="C126" s="1"/>
      <x:c r="D126" s="3"/>
      <x:c r="E126" s="1"/>
      <x:c r="F126" s="3"/>
      <x:c r="G126" s="1"/>
      <x:c r="H126" s="1"/>
      <x:c r="I126" s="1"/>
      <x:c r="J126" s="1"/>
    </x:row>
    <x:row r="127" ht="6" customHeight="1">
      <x:c r="A127" s="1"/>
      <x:c r="B127" s="3"/>
      <x:c r="C127" s="1"/>
      <x:c r="D127" s="3"/>
      <x:c r="E127" s="1"/>
      <x:c r="F127" s="3"/>
      <x:c r="G127" s="1"/>
      <x:c r="H127" s="1"/>
      <x:c r="I127" s="1"/>
      <x:c r="J127" s="1"/>
    </x:row>
    <x:row r="128" ht="6" customHeight="1">
      <x:c r="A128" s="1"/>
      <x:c r="B128" s="3"/>
      <x:c r="C128" s="1"/>
      <x:c r="D128" s="3"/>
      <x:c r="E128" s="1"/>
      <x:c r="F128" s="3"/>
      <x:c r="G128" s="1"/>
      <x:c r="H128" s="1"/>
      <x:c r="I128" s="1"/>
      <x:c r="J128" s="1"/>
    </x:row>
    <x:row r="129" ht="6" customHeight="1">
      <x:c r="A129" s="1"/>
      <x:c r="B129" s="3"/>
      <x:c r="C129" s="1"/>
      <x:c r="D129" s="3"/>
      <x:c r="E129" s="1"/>
      <x:c r="F129" s="3"/>
      <x:c r="G129" s="1"/>
      <x:c r="H129" s="1"/>
      <x:c r="I129" s="1"/>
      <x:c r="J129" s="1"/>
    </x:row>
    <x:row r="130" ht="6" customHeight="1">
      <x:c r="A130" s="1"/>
      <x:c r="B130" s="3"/>
      <x:c r="C130" s="1"/>
      <x:c r="D130" s="3"/>
      <x:c r="E130" s="1"/>
      <x:c r="F130" s="3"/>
      <x:c r="G130" s="1"/>
      <x:c r="H130" s="1"/>
      <x:c r="I130" s="1"/>
      <x:c r="J130" s="1"/>
    </x:row>
    <x:row r="131" ht="6" customHeight="1">
      <x:c r="A131" s="1"/>
      <x:c r="B131" s="3"/>
      <x:c r="C131" s="1"/>
      <x:c r="D131" s="3"/>
      <x:c r="E131" s="1"/>
      <x:c r="F131" s="3"/>
      <x:c r="G131" s="1"/>
      <x:c r="H131" s="1"/>
      <x:c r="I131" s="1"/>
      <x:c r="J131" s="1"/>
    </x:row>
    <x:row r="132" ht="6" customHeight="1">
      <x:c r="A132" s="1"/>
      <x:c r="B132" s="3"/>
      <x:c r="C132" s="1"/>
      <x:c r="D132" s="3"/>
      <x:c r="E132" s="1"/>
      <x:c r="F132" s="3"/>
      <x:c r="G132" s="1"/>
      <x:c r="H132" s="1"/>
      <x:c r="I132" s="1"/>
      <x:c r="J132" s="1"/>
    </x:row>
    <x:row r="133" ht="6" customHeight="1">
      <x:c r="A133" s="1"/>
      <x:c r="B133" s="3"/>
      <x:c r="C133" s="1"/>
      <x:c r="D133" s="3"/>
      <x:c r="E133" s="1"/>
      <x:c r="F133" s="3"/>
      <x:c r="G133" s="1"/>
      <x:c r="H133" s="1"/>
      <x:c r="I133" s="1"/>
      <x:c r="J133" s="1"/>
    </x:row>
    <x:row r="134" ht="6" customHeight="1">
      <x:c r="A134" s="1"/>
      <x:c r="B134" s="3"/>
      <x:c r="C134" s="1"/>
      <x:c r="D134" s="3"/>
      <x:c r="E134" s="1"/>
      <x:c r="F134" s="3"/>
      <x:c r="G134" s="1"/>
      <x:c r="H134" s="1"/>
      <x:c r="I134" s="1"/>
      <x:c r="J134" s="1"/>
    </x:row>
    <x:row r="135" ht="6" customHeight="1">
      <x:c r="A135" s="1"/>
      <x:c r="B135" s="3"/>
      <x:c r="C135" s="1"/>
      <x:c r="D135" s="3"/>
      <x:c r="E135" s="1"/>
      <x:c r="F135" s="3"/>
      <x:c r="G135" s="1"/>
      <x:c r="H135" s="1"/>
      <x:c r="I135" s="1"/>
      <x:c r="J135" s="1"/>
    </x:row>
    <x:row r="136" ht="6" customHeight="1">
      <x:c r="A136" s="1"/>
      <x:c r="B136" s="3"/>
      <x:c r="C136" s="1"/>
      <x:c r="D136" s="3"/>
      <x:c r="E136" s="1"/>
      <x:c r="F136" s="3"/>
      <x:c r="G136" s="1"/>
      <x:c r="H136" s="1"/>
      <x:c r="I136" s="1"/>
      <x:c r="J136" s="1"/>
    </x:row>
    <x:row r="137" ht="6" customHeight="1">
      <x:c r="A137" s="1"/>
      <x:c r="B137" s="3"/>
      <x:c r="C137" s="1"/>
      <x:c r="D137" s="3"/>
      <x:c r="E137" s="1"/>
      <x:c r="F137" s="3"/>
      <x:c r="G137" s="1"/>
      <x:c r="H137" s="1"/>
      <x:c r="I137" s="1"/>
      <x:c r="J137" s="1"/>
    </x:row>
    <x:row r="138" ht="6" customHeight="1">
      <x:c r="A138" s="1"/>
      <x:c r="B138" s="3"/>
      <x:c r="C138" s="1"/>
      <x:c r="D138" s="3"/>
      <x:c r="E138" s="1"/>
      <x:c r="F138" s="3"/>
      <x:c r="G138" s="1"/>
      <x:c r="H138" s="1"/>
      <x:c r="I138" s="1"/>
      <x:c r="J138" s="1"/>
    </x:row>
    <x:row r="139" ht="6" customHeight="1">
      <x:c r="A139" s="1"/>
      <x:c r="B139" s="3"/>
      <x:c r="C139" s="1"/>
      <x:c r="D139" s="3"/>
      <x:c r="E139" s="1"/>
      <x:c r="F139" s="3"/>
      <x:c r="G139" s="1"/>
      <x:c r="H139" s="1"/>
      <x:c r="I139" s="1"/>
      <x:c r="J139" s="1"/>
    </x:row>
    <x:row r="140" ht="6" customHeight="1">
      <x:c r="A140" s="1"/>
      <x:c r="B140" s="3"/>
      <x:c r="C140" s="1"/>
      <x:c r="D140" s="3"/>
      <x:c r="E140" s="1"/>
      <x:c r="F140" s="3"/>
      <x:c r="G140" s="1"/>
      <x:c r="H140" s="1"/>
      <x:c r="I140" s="1"/>
      <x:c r="J140" s="1"/>
    </x:row>
    <x:row r="141" ht="6" customHeight="1">
      <x:c r="A141" s="1"/>
      <x:c r="B141" s="3"/>
      <x:c r="C141" s="1"/>
      <x:c r="D141" s="3"/>
      <x:c r="E141" s="1"/>
      <x:c r="F141" s="3"/>
      <x:c r="G141" s="1"/>
      <x:c r="H141" s="1"/>
      <x:c r="I141" s="1"/>
      <x:c r="J141" s="1"/>
    </x:row>
    <x:row r="142" ht="6" customHeight="1">
      <x:c r="A142" s="1"/>
      <x:c r="B142" s="3"/>
      <x:c r="C142" s="1"/>
      <x:c r="D142" s="3"/>
      <x:c r="E142" s="1"/>
      <x:c r="F142" s="3"/>
      <x:c r="G142" s="1"/>
      <x:c r="H142" s="1"/>
      <x:c r="I142" s="1"/>
      <x:c r="J142" s="1"/>
    </x:row>
    <x:row r="143" ht="6" customHeight="1">
      <x:c r="A143" s="1"/>
      <x:c r="B143" s="3"/>
      <x:c r="C143" s="1"/>
      <x:c r="D143" s="3"/>
      <x:c r="E143" s="1"/>
      <x:c r="F143" s="3"/>
      <x:c r="G143" s="1"/>
      <x:c r="H143" s="1"/>
      <x:c r="I143" s="1"/>
      <x:c r="J143" s="1"/>
    </x:row>
    <x:row r="144" ht="6" customHeight="1">
      <x:c r="A144" s="1"/>
      <x:c r="B144" s="3"/>
      <x:c r="C144" s="1"/>
      <x:c r="D144" s="3"/>
      <x:c r="E144" s="1"/>
      <x:c r="F144" s="3"/>
      <x:c r="G144" s="1"/>
      <x:c r="H144" s="1"/>
      <x:c r="I144" s="1"/>
      <x:c r="J144" s="1"/>
    </x:row>
    <x:row r="145" ht="6" customHeight="1">
      <x:c r="A145" s="1"/>
      <x:c r="B145" s="3"/>
      <x:c r="C145" s="1"/>
      <x:c r="D145" s="3"/>
      <x:c r="E145" s="1"/>
      <x:c r="F145" s="3"/>
      <x:c r="G145" s="1"/>
      <x:c r="H145" s="1"/>
      <x:c r="I145" s="1"/>
      <x:c r="J145" s="1"/>
    </x:row>
    <x:row r="146" ht="6" customHeight="1">
      <x:c r="A146" s="1"/>
      <x:c r="B146" s="3"/>
      <x:c r="C146" s="1"/>
      <x:c r="D146" s="3"/>
      <x:c r="E146" s="1"/>
      <x:c r="F146" s="3"/>
      <x:c r="G146" s="1"/>
      <x:c r="H146" s="1"/>
      <x:c r="I146" s="1"/>
      <x:c r="J146" s="1"/>
    </x:row>
    <x:row r="147" ht="6" customHeight="1">
      <x:c r="A147" s="1"/>
      <x:c r="B147" s="3"/>
      <x:c r="C147" s="1"/>
      <x:c r="D147" s="3"/>
      <x:c r="E147" s="1"/>
      <x:c r="F147" s="3"/>
      <x:c r="G147" s="1"/>
      <x:c r="H147" s="1"/>
      <x:c r="I147" s="1"/>
      <x:c r="J147" s="1"/>
    </x:row>
    <x:row r="148" ht="6" customHeight="1">
      <x:c r="A148" s="1"/>
      <x:c r="B148" s="3"/>
      <x:c r="C148" s="1"/>
      <x:c r="D148" s="3"/>
      <x:c r="E148" s="1"/>
      <x:c r="F148" s="3"/>
      <x:c r="G148" s="1"/>
      <x:c r="H148" s="1"/>
      <x:c r="I148" s="1"/>
      <x:c r="J148" s="1"/>
    </x:row>
    <x:row r="149" ht="6" customHeight="1">
      <x:c r="A149" s="1"/>
      <x:c r="B149" s="3"/>
      <x:c r="C149" s="1"/>
      <x:c r="D149" s="3"/>
      <x:c r="E149" s="1"/>
      <x:c r="F149" s="3"/>
      <x:c r="G149" s="1"/>
      <x:c r="H149" s="1"/>
      <x:c r="I149" s="1"/>
      <x:c r="J149" s="1"/>
    </x:row>
    <x:row r="150" ht="6" customHeight="1">
      <x:c r="A150" s="1"/>
      <x:c r="B150" s="3"/>
      <x:c r="C150" s="1"/>
      <x:c r="D150" s="3"/>
      <x:c r="E150" s="1"/>
      <x:c r="F150" s="3"/>
      <x:c r="G150" s="1"/>
      <x:c r="H150" s="1"/>
      <x:c r="I150" s="1"/>
      <x:c r="J150" s="1"/>
    </x:row>
    <x:row r="151" ht="6" customHeight="1">
      <x:c r="A151" s="1"/>
      <x:c r="B151" s="3"/>
      <x:c r="C151" s="1"/>
      <x:c r="D151" s="3"/>
      <x:c r="E151" s="1"/>
      <x:c r="F151" s="3"/>
      <x:c r="G151" s="1"/>
      <x:c r="H151" s="1"/>
      <x:c r="I151" s="1"/>
      <x:c r="J151" s="1"/>
    </x:row>
    <x:row r="152" ht="6" customHeight="1">
      <x:c r="A152" s="1"/>
      <x:c r="B152" s="3"/>
      <x:c r="C152" s="1"/>
      <x:c r="D152" s="3"/>
      <x:c r="E152" s="1"/>
      <x:c r="F152" s="3"/>
      <x:c r="G152" s="1"/>
      <x:c r="H152" s="1"/>
      <x:c r="I152" s="1"/>
      <x:c r="J152" s="1"/>
    </x:row>
    <x:row r="153" ht="6" customHeight="1">
      <x:c r="A153" s="1"/>
      <x:c r="B153" s="3"/>
      <x:c r="C153" s="1"/>
      <x:c r="D153" s="3"/>
      <x:c r="E153" s="1"/>
      <x:c r="F153" s="3"/>
      <x:c r="G153" s="1"/>
      <x:c r="H153" s="1"/>
      <x:c r="I153" s="1"/>
      <x:c r="J153" s="1"/>
    </x:row>
    <x:row r="154" ht="6" customHeight="1">
      <x:c r="A154" s="1"/>
      <x:c r="B154" s="3"/>
      <x:c r="C154" s="1"/>
      <x:c r="D154" s="3"/>
      <x:c r="E154" s="1"/>
      <x:c r="F154" s="3"/>
      <x:c r="G154" s="1"/>
      <x:c r="H154" s="1"/>
      <x:c r="I154" s="1"/>
      <x:c r="J154" s="1"/>
    </x:row>
    <x:row r="155" ht="6" customHeight="1">
      <x:c r="A155" s="1"/>
      <x:c r="B155" s="3"/>
      <x:c r="C155" s="1"/>
      <x:c r="D155" s="3"/>
      <x:c r="E155" s="1"/>
      <x:c r="F155" s="3"/>
      <x:c r="G155" s="1"/>
      <x:c r="H155" s="1"/>
      <x:c r="I155" s="1"/>
      <x:c r="J155" s="1"/>
    </x:row>
    <x:row r="156" ht="6" customHeight="1">
      <x:c r="A156" s="1"/>
      <x:c r="B156" s="3"/>
      <x:c r="C156" s="1"/>
      <x:c r="D156" s="3"/>
      <x:c r="E156" s="1"/>
      <x:c r="F156" s="3"/>
      <x:c r="G156" s="1"/>
      <x:c r="H156" s="1"/>
      <x:c r="I156" s="1"/>
      <x:c r="J156" s="1"/>
    </x:row>
    <x:row r="157" ht="6" customHeight="1">
      <x:c r="A157" s="1"/>
      <x:c r="B157" s="3"/>
      <x:c r="C157" s="1"/>
      <x:c r="D157" s="3"/>
      <x:c r="E157" s="1"/>
      <x:c r="F157" s="3"/>
      <x:c r="G157" s="1"/>
      <x:c r="H157" s="1"/>
      <x:c r="I157" s="1"/>
      <x:c r="J157" s="1"/>
    </x:row>
    <x:row r="158" ht="6" customHeight="1">
      <x:c r="A158" s="1"/>
      <x:c r="B158" s="3"/>
      <x:c r="C158" s="1"/>
      <x:c r="D158" s="3"/>
      <x:c r="E158" s="1"/>
      <x:c r="F158" s="3"/>
      <x:c r="G158" s="1"/>
      <x:c r="H158" s="1"/>
      <x:c r="I158" s="1"/>
      <x:c r="J158" s="1"/>
    </x:row>
    <x:row r="159" ht="6" customHeight="1">
      <x:c r="A159" s="1"/>
      <x:c r="B159" s="3"/>
      <x:c r="C159" s="1"/>
      <x:c r="D159" s="3"/>
      <x:c r="E159" s="1"/>
      <x:c r="F159" s="3"/>
      <x:c r="G159" s="1"/>
      <x:c r="H159" s="1"/>
      <x:c r="I159" s="1"/>
      <x:c r="J159" s="1"/>
    </x:row>
    <x:row r="160" ht="6" customHeight="1">
      <x:c r="A160" s="1"/>
      <x:c r="B160" s="3"/>
      <x:c r="C160" s="1"/>
      <x:c r="D160" s="3"/>
      <x:c r="E160" s="1"/>
      <x:c r="F160" s="3"/>
      <x:c r="G160" s="1"/>
      <x:c r="H160" s="1"/>
      <x:c r="I160" s="1"/>
      <x:c r="J160" s="1"/>
    </x:row>
    <x:row r="161" ht="6" customHeight="1">
      <x:c r="A161" s="1"/>
      <x:c r="B161" s="3"/>
      <x:c r="C161" s="1"/>
      <x:c r="D161" s="3"/>
      <x:c r="E161" s="1"/>
      <x:c r="F161" s="3"/>
      <x:c r="G161" s="1"/>
      <x:c r="H161" s="1"/>
      <x:c r="I161" s="1"/>
      <x:c r="J161" s="1"/>
    </x:row>
    <x:row r="162" ht="6" customHeight="1">
      <x:c r="A162" s="1"/>
      <x:c r="B162" s="3"/>
      <x:c r="C162" s="1"/>
      <x:c r="D162" s="3"/>
      <x:c r="E162" s="1"/>
      <x:c r="F162" s="3"/>
      <x:c r="G162" s="1"/>
      <x:c r="H162" s="1"/>
      <x:c r="I162" s="1"/>
      <x:c r="J162" s="1"/>
    </x:row>
    <x:row r="163" ht="6" customHeight="1">
      <x:c r="A163" s="1"/>
      <x:c r="B163" s="3"/>
      <x:c r="C163" s="1"/>
      <x:c r="D163" s="3"/>
      <x:c r="E163" s="1"/>
      <x:c r="F163" s="3"/>
      <x:c r="G163" s="1"/>
      <x:c r="H163" s="1"/>
      <x:c r="I163" s="1"/>
      <x:c r="J163" s="1"/>
    </x:row>
    <x:row r="164" ht="6" customHeight="1">
      <x:c r="A164" s="1"/>
      <x:c r="B164" s="3"/>
      <x:c r="C164" s="1"/>
      <x:c r="D164" s="3"/>
      <x:c r="E164" s="1"/>
      <x:c r="F164" s="3"/>
      <x:c r="G164" s="1"/>
      <x:c r="H164" s="1"/>
      <x:c r="I164" s="1"/>
      <x:c r="J164" s="1"/>
    </x:row>
    <x:row r="165" ht="6" customHeight="1">
      <x:c r="A165" s="1"/>
      <x:c r="B165" s="3"/>
      <x:c r="C165" s="1"/>
      <x:c r="D165" s="3"/>
      <x:c r="E165" s="1"/>
      <x:c r="F165" s="3"/>
      <x:c r="G165" s="1"/>
      <x:c r="H165" s="1"/>
      <x:c r="I165" s="1"/>
      <x:c r="J165" s="1"/>
    </x:row>
    <x:row r="166" ht="6" customHeight="1">
      <x:c r="A166" s="1"/>
      <x:c r="B166" s="3"/>
      <x:c r="C166" s="1"/>
      <x:c r="D166" s="3"/>
      <x:c r="E166" s="1"/>
      <x:c r="F166" s="3"/>
      <x:c r="G166" s="1"/>
      <x:c r="H166" s="1"/>
      <x:c r="I166" s="1"/>
      <x:c r="J166" s="1"/>
    </x:row>
    <x:row r="167" ht="6" customHeight="1">
      <x:c r="A167" s="1"/>
      <x:c r="B167" s="3"/>
      <x:c r="C167" s="1"/>
      <x:c r="D167" s="3"/>
      <x:c r="E167" s="1"/>
      <x:c r="F167" s="3"/>
      <x:c r="G167" s="1"/>
      <x:c r="H167" s="1"/>
      <x:c r="I167" s="1"/>
      <x:c r="J167" s="1"/>
    </x:row>
    <x:row r="168" ht="6" customHeight="1">
      <x:c r="A168" s="1"/>
      <x:c r="B168" s="3"/>
      <x:c r="C168" s="1"/>
      <x:c r="D168" s="3"/>
      <x:c r="E168" s="1"/>
      <x:c r="F168" s="3"/>
      <x:c r="G168" s="1"/>
      <x:c r="H168" s="1"/>
      <x:c r="I168" s="1"/>
      <x:c r="J168" s="1"/>
    </x:row>
    <x:row r="169" ht="6" customHeight="1">
      <x:c r="A169" s="1"/>
      <x:c r="B169" s="3"/>
      <x:c r="C169" s="1"/>
      <x:c r="D169" s="3"/>
      <x:c r="E169" s="1"/>
      <x:c r="F169" s="3"/>
      <x:c r="G169" s="1"/>
      <x:c r="H169" s="1"/>
      <x:c r="I169" s="1"/>
      <x:c r="J169" s="1"/>
    </x:row>
    <x:row r="170" ht="6" customHeight="1">
      <x:c r="A170" s="1"/>
      <x:c r="B170" s="3"/>
      <x:c r="C170" s="1"/>
      <x:c r="D170" s="3"/>
      <x:c r="E170" s="1"/>
      <x:c r="F170" s="3"/>
      <x:c r="G170" s="1"/>
      <x:c r="H170" s="1"/>
      <x:c r="I170" s="1"/>
      <x:c r="J170" s="1"/>
    </x:row>
    <x:row r="171" ht="6" customHeight="1">
      <x:c r="A171" s="1"/>
      <x:c r="B171" s="3"/>
      <x:c r="C171" s="1"/>
      <x:c r="D171" s="3"/>
      <x:c r="E171" s="1"/>
      <x:c r="F171" s="3"/>
      <x:c r="G171" s="1"/>
      <x:c r="H171" s="1"/>
      <x:c r="I171" s="1"/>
      <x:c r="J171" s="1"/>
    </x:row>
    <x:row r="172" ht="6" customHeight="1">
      <x:c r="A172" s="1"/>
      <x:c r="B172" s="3"/>
      <x:c r="C172" s="1"/>
      <x:c r="D172" s="3"/>
      <x:c r="E172" s="1"/>
      <x:c r="F172" s="3"/>
      <x:c r="G172" s="1"/>
      <x:c r="H172" s="1"/>
      <x:c r="I172" s="1"/>
      <x:c r="J172" s="1"/>
    </x:row>
    <x:row r="173" ht="6" customHeight="1">
      <x:c r="A173" s="1"/>
      <x:c r="B173" s="3"/>
      <x:c r="C173" s="1"/>
      <x:c r="D173" s="3"/>
      <x:c r="E173" s="1"/>
      <x:c r="F173" s="3"/>
      <x:c r="G173" s="1"/>
      <x:c r="H173" s="1"/>
      <x:c r="I173" s="1"/>
      <x:c r="J173" s="1"/>
    </x:row>
    <x:row r="174" ht="6" customHeight="1">
      <x:c r="A174" s="1"/>
      <x:c r="B174" s="3"/>
      <x:c r="C174" s="1"/>
      <x:c r="D174" s="3"/>
      <x:c r="E174" s="1"/>
      <x:c r="F174" s="3"/>
      <x:c r="G174" s="1"/>
      <x:c r="H174" s="1"/>
      <x:c r="I174" s="1"/>
      <x:c r="J174" s="1"/>
    </x:row>
    <x:row r="175" ht="6" customHeight="1">
      <x:c r="A175" s="1"/>
      <x:c r="B175" s="3"/>
      <x:c r="C175" s="1"/>
      <x:c r="D175" s="3"/>
      <x:c r="E175" s="1"/>
      <x:c r="F175" s="3"/>
      <x:c r="G175" s="1"/>
      <x:c r="H175" s="1"/>
      <x:c r="I175" s="1"/>
      <x:c r="J175" s="1"/>
    </x:row>
    <x:row r="176" ht="6" customHeight="1">
      <x:c r="A176" s="1"/>
      <x:c r="B176" s="3"/>
      <x:c r="C176" s="1"/>
      <x:c r="D176" s="3"/>
      <x:c r="E176" s="1"/>
      <x:c r="F176" s="3"/>
      <x:c r="G176" s="1"/>
      <x:c r="H176" s="1"/>
      <x:c r="I176" s="1"/>
      <x:c r="J176" s="1"/>
    </x:row>
    <x:row r="177" ht="6" customHeight="1">
      <x:c r="A177" s="1"/>
      <x:c r="B177" s="3"/>
      <x:c r="C177" s="1"/>
      <x:c r="D177" s="3"/>
      <x:c r="E177" s="1"/>
      <x:c r="F177" s="3"/>
      <x:c r="G177" s="1"/>
      <x:c r="H177" s="1"/>
      <x:c r="I177" s="1"/>
      <x:c r="J177" s="1"/>
    </x:row>
    <x:row r="178" ht="6" customHeight="1">
      <x:c r="A178" s="1"/>
      <x:c r="B178" s="3"/>
      <x:c r="C178" s="1"/>
      <x:c r="D178" s="3"/>
      <x:c r="E178" s="1"/>
      <x:c r="F178" s="3"/>
      <x:c r="G178" s="1"/>
      <x:c r="H178" s="1"/>
      <x:c r="I178" s="1"/>
      <x:c r="J178" s="1"/>
    </x:row>
    <x:row r="179" ht="6" customHeight="1">
      <x:c r="A179" s="1"/>
      <x:c r="B179" s="3"/>
      <x:c r="C179" s="1"/>
      <x:c r="D179" s="3"/>
      <x:c r="E179" s="1"/>
      <x:c r="F179" s="3"/>
      <x:c r="G179" s="1"/>
      <x:c r="H179" s="1"/>
      <x:c r="I179" s="1"/>
      <x:c r="J179" s="1"/>
    </x:row>
    <x:row r="180" ht="6" customHeight="1">
      <x:c r="A180" s="1"/>
      <x:c r="B180" s="3"/>
      <x:c r="C180" s="1"/>
      <x:c r="D180" s="3"/>
      <x:c r="E180" s="1"/>
      <x:c r="F180" s="3"/>
      <x:c r="G180" s="1"/>
      <x:c r="H180" s="1"/>
      <x:c r="I180" s="1"/>
      <x:c r="J180" s="1"/>
    </x:row>
    <x:row r="181" ht="6" customHeight="1">
      <x:c r="A181" s="1"/>
      <x:c r="B181" s="3"/>
      <x:c r="C181" s="1"/>
      <x:c r="D181" s="3"/>
      <x:c r="E181" s="1"/>
      <x:c r="F181" s="3"/>
      <x:c r="G181" s="1"/>
      <x:c r="H181" s="1"/>
      <x:c r="I181" s="1"/>
      <x:c r="J181" s="1"/>
    </x:row>
    <x:row r="182" ht="6" customHeight="1">
      <x:c r="A182" s="1"/>
      <x:c r="B182" s="3"/>
      <x:c r="C182" s="1"/>
      <x:c r="D182" s="3"/>
      <x:c r="E182" s="1"/>
      <x:c r="F182" s="3"/>
      <x:c r="G182" s="1"/>
      <x:c r="H182" s="1"/>
      <x:c r="I182" s="1"/>
      <x:c r="J182" s="1"/>
    </x:row>
    <x:row r="183" ht="6" customHeight="1">
      <x:c r="A183" s="1"/>
      <x:c r="B183" s="3"/>
      <x:c r="C183" s="1"/>
      <x:c r="D183" s="3"/>
      <x:c r="E183" s="1"/>
      <x:c r="F183" s="3"/>
      <x:c r="G183" s="1"/>
      <x:c r="H183" s="1"/>
      <x:c r="I183" s="1"/>
      <x:c r="J183" s="1"/>
    </x:row>
    <x:row r="184" ht="6" customHeight="1">
      <x:c r="A184" s="1"/>
      <x:c r="B184" s="3"/>
      <x:c r="C184" s="1"/>
      <x:c r="D184" s="3"/>
      <x:c r="E184" s="1"/>
      <x:c r="F184" s="3"/>
      <x:c r="G184" s="1"/>
      <x:c r="H184" s="1"/>
      <x:c r="I184" s="1"/>
      <x:c r="J184" s="1"/>
    </x:row>
    <x:row r="185" ht="6" customHeight="1">
      <x:c r="A185" s="1"/>
      <x:c r="B185" s="3"/>
      <x:c r="C185" s="1"/>
      <x:c r="D185" s="3"/>
      <x:c r="E185" s="1"/>
      <x:c r="F185" s="3"/>
      <x:c r="G185" s="1"/>
      <x:c r="H185" s="1"/>
      <x:c r="I185" s="1"/>
      <x:c r="J185" s="1"/>
    </x:row>
    <x:row r="186" ht="6" customHeight="1">
      <x:c r="A186" s="1"/>
      <x:c r="B186" s="3"/>
      <x:c r="C186" s="1"/>
      <x:c r="D186" s="3"/>
      <x:c r="E186" s="1"/>
      <x:c r="F186" s="3"/>
      <x:c r="G186" s="1"/>
      <x:c r="H186" s="1"/>
      <x:c r="I186" s="1"/>
      <x:c r="J186" s="1"/>
    </x:row>
    <x:row r="187" ht="6" customHeight="1">
      <x:c r="A187" s="1"/>
      <x:c r="B187" s="3"/>
      <x:c r="C187" s="1"/>
      <x:c r="D187" s="3"/>
      <x:c r="E187" s="1"/>
      <x:c r="F187" s="3"/>
      <x:c r="G187" s="1"/>
      <x:c r="H187" s="1"/>
      <x:c r="I187" s="1"/>
      <x:c r="J187" s="1"/>
    </x:row>
    <x:row r="188" ht="6" customHeight="1">
      <x:c r="A188" s="1"/>
      <x:c r="B188" s="3"/>
      <x:c r="C188" s="1"/>
      <x:c r="D188" s="3"/>
      <x:c r="E188" s="1"/>
      <x:c r="F188" s="3"/>
      <x:c r="G188" s="1"/>
      <x:c r="H188" s="1"/>
      <x:c r="I188" s="1"/>
      <x:c r="J188" s="1"/>
    </x:row>
    <x:row r="189" ht="6" customHeight="1">
      <x:c r="A189" s="1"/>
      <x:c r="B189" s="3"/>
      <x:c r="C189" s="1"/>
      <x:c r="D189" s="3"/>
      <x:c r="E189" s="1"/>
      <x:c r="F189" s="3"/>
      <x:c r="G189" s="1"/>
      <x:c r="H189" s="1"/>
      <x:c r="I189" s="1"/>
      <x:c r="J189" s="1"/>
    </x:row>
    <x:row r="190" ht="6" customHeight="1">
      <x:c r="A190" s="1"/>
      <x:c r="B190" s="3"/>
      <x:c r="C190" s="1"/>
      <x:c r="D190" s="3"/>
      <x:c r="E190" s="1"/>
      <x:c r="F190" s="3"/>
      <x:c r="G190" s="1"/>
      <x:c r="H190" s="1"/>
      <x:c r="I190" s="1"/>
      <x:c r="J190" s="1"/>
    </x:row>
    <x:row r="191" ht="6" customHeight="1">
      <x:c r="A191" s="1"/>
      <x:c r="B191" s="3"/>
      <x:c r="C191" s="1"/>
      <x:c r="D191" s="3"/>
      <x:c r="E191" s="1"/>
      <x:c r="F191" s="3"/>
      <x:c r="G191" s="1"/>
      <x:c r="H191" s="1"/>
      <x:c r="I191" s="1"/>
      <x:c r="J191" s="1"/>
    </x:row>
    <x:row r="192" ht="6" customHeight="1">
      <x:c r="A192" s="1"/>
      <x:c r="B192" s="3"/>
      <x:c r="C192" s="1"/>
      <x:c r="D192" s="3"/>
      <x:c r="E192" s="1"/>
      <x:c r="F192" s="3"/>
      <x:c r="G192" s="1"/>
      <x:c r="H192" s="1"/>
      <x:c r="I192" s="1"/>
      <x:c r="J192" s="1"/>
    </x:row>
    <x:row r="193" ht="6" customHeight="1">
      <x:c r="A193" s="1"/>
      <x:c r="B193" s="3"/>
      <x:c r="C193" s="1"/>
      <x:c r="D193" s="3"/>
      <x:c r="E193" s="1"/>
      <x:c r="F193" s="3"/>
      <x:c r="G193" s="1"/>
      <x:c r="H193" s="1"/>
      <x:c r="I193" s="1"/>
      <x:c r="J193" s="1"/>
    </x:row>
    <x:row r="194" ht="6" customHeight="1">
      <x:c r="A194" s="1"/>
      <x:c r="B194" s="3"/>
      <x:c r="C194" s="1"/>
      <x:c r="D194" s="3"/>
      <x:c r="E194" s="1"/>
      <x:c r="F194" s="3"/>
      <x:c r="G194" s="1"/>
      <x:c r="H194" s="1"/>
      <x:c r="I194" s="1"/>
      <x:c r="J194" s="1"/>
    </x:row>
    <x:row r="195" ht="6" customHeight="1">
      <x:c r="A195" s="1"/>
      <x:c r="B195" s="3"/>
      <x:c r="C195" s="1"/>
      <x:c r="D195" s="3"/>
      <x:c r="E195" s="1"/>
      <x:c r="F195" s="3"/>
      <x:c r="G195" s="1"/>
      <x:c r="H195" s="1"/>
      <x:c r="I195" s="1"/>
      <x:c r="J195" s="1"/>
    </x:row>
    <x:row r="196" ht="6" customHeight="1">
      <x:c r="A196" s="1"/>
      <x:c r="B196" s="3"/>
      <x:c r="C196" s="1"/>
      <x:c r="D196" s="3"/>
      <x:c r="E196" s="1"/>
      <x:c r="F196" s="3"/>
      <x:c r="G196" s="1"/>
      <x:c r="H196" s="1"/>
      <x:c r="I196" s="1"/>
      <x:c r="J196" s="1"/>
    </x:row>
    <x:row r="197" ht="6" customHeight="1">
      <x:c r="A197" s="1"/>
      <x:c r="B197" s="3"/>
      <x:c r="C197" s="1"/>
      <x:c r="D197" s="3"/>
      <x:c r="E197" s="1"/>
      <x:c r="F197" s="3"/>
      <x:c r="G197" s="1"/>
      <x:c r="H197" s="1"/>
      <x:c r="I197" s="1"/>
      <x:c r="J197" s="1"/>
    </x:row>
    <x:row r="198" ht="6" customHeight="1">
      <x:c r="A198" s="1"/>
      <x:c r="B198" s="3"/>
      <x:c r="C198" s="1"/>
      <x:c r="D198" s="3"/>
      <x:c r="E198" s="1"/>
      <x:c r="F198" s="3"/>
      <x:c r="G198" s="1"/>
      <x:c r="H198" s="1"/>
      <x:c r="I198" s="1"/>
      <x:c r="J198" s="1"/>
    </x:row>
    <x:row r="199" ht="6" customHeight="1">
      <x:c r="A199" s="1"/>
      <x:c r="B199" s="3"/>
      <x:c r="C199" s="1"/>
      <x:c r="D199" s="3"/>
      <x:c r="E199" s="1"/>
      <x:c r="F199" s="3"/>
      <x:c r="G199" s="1"/>
      <x:c r="H199" s="1"/>
      <x:c r="I199" s="1"/>
      <x:c r="J199" s="1"/>
    </x:row>
    <x:row r="200" ht="6" customHeight="1">
      <x:c r="A200" s="1"/>
      <x:c r="B200" s="3"/>
      <x:c r="C200" s="1"/>
      <x:c r="D200" s="3"/>
      <x:c r="E200" s="1"/>
      <x:c r="F200" s="3"/>
      <x:c r="G200" s="1"/>
      <x:c r="H200" s="1"/>
      <x:c r="I200" s="1"/>
      <x:c r="J200" s="1"/>
    </x:row>
    <x:row r="201" ht="6" customHeight="1">
      <x:c r="A201" s="1"/>
      <x:c r="B201" s="3"/>
      <x:c r="C201" s="1"/>
      <x:c r="D201" s="3"/>
      <x:c r="E201" s="1"/>
      <x:c r="F201" s="3"/>
      <x:c r="G201" s="1"/>
      <x:c r="H201" s="1"/>
      <x:c r="I201" s="1"/>
      <x:c r="J201" s="1"/>
    </x:row>
    <x:row r="202" ht="6" customHeight="1">
      <x:c r="A202" s="1"/>
      <x:c r="B202" s="3"/>
      <x:c r="C202" s="1"/>
      <x:c r="D202" s="3"/>
      <x:c r="E202" s="1"/>
      <x:c r="F202" s="3"/>
      <x:c r="G202" s="1"/>
      <x:c r="H202" s="1"/>
      <x:c r="I202" s="1"/>
      <x:c r="J202" s="1"/>
    </x:row>
    <x:row r="203" ht="6" customHeight="1">
      <x:c r="A203" s="1"/>
      <x:c r="B203" s="3"/>
      <x:c r="C203" s="1"/>
      <x:c r="D203" s="3"/>
      <x:c r="E203" s="1"/>
      <x:c r="F203" s="3"/>
      <x:c r="G203" s="1"/>
      <x:c r="H203" s="1"/>
      <x:c r="I203" s="1"/>
      <x:c r="J203" s="1"/>
    </x:row>
    <x:row r="204" ht="6" customHeight="1">
      <x:c r="A204" s="1"/>
      <x:c r="B204" s="3"/>
      <x:c r="C204" s="1"/>
      <x:c r="D204" s="3"/>
      <x:c r="E204" s="1"/>
      <x:c r="F204" s="3"/>
      <x:c r="G204" s="1"/>
      <x:c r="H204" s="1"/>
      <x:c r="I204" s="1"/>
      <x:c r="J204" s="1"/>
    </x:row>
    <x:row r="205" ht="6" customHeight="1">
      <x:c r="A205" s="1"/>
      <x:c r="B205" s="3"/>
      <x:c r="C205" s="1"/>
      <x:c r="D205" s="3"/>
      <x:c r="E205" s="1"/>
      <x:c r="F205" s="3"/>
      <x:c r="G205" s="1"/>
      <x:c r="H205" s="1"/>
      <x:c r="I205" s="1"/>
      <x:c r="J205" s="1"/>
    </x:row>
    <x:row r="206" ht="6" customHeight="1">
      <x:c r="A206" s="1"/>
      <x:c r="B206" s="3"/>
      <x:c r="C206" s="1"/>
      <x:c r="D206" s="3"/>
      <x:c r="E206" s="1"/>
      <x:c r="F206" s="3"/>
      <x:c r="G206" s="1"/>
      <x:c r="H206" s="1"/>
      <x:c r="I206" s="1"/>
      <x:c r="J206" s="1"/>
    </x:row>
    <x:row r="207" ht="6" customHeight="1">
      <x:c r="A207" s="1"/>
      <x:c r="B207" s="3"/>
      <x:c r="C207" s="1"/>
      <x:c r="D207" s="3"/>
      <x:c r="E207" s="1"/>
      <x:c r="F207" s="3"/>
      <x:c r="G207" s="1"/>
      <x:c r="H207" s="1"/>
      <x:c r="I207" s="1"/>
      <x:c r="J207" s="1"/>
    </x:row>
    <x:row r="208" ht="6" customHeight="1">
      <x:c r="A208" s="1"/>
      <x:c r="B208" s="3"/>
      <x:c r="C208" s="1"/>
      <x:c r="D208" s="3"/>
      <x:c r="E208" s="1"/>
      <x:c r="F208" s="3"/>
      <x:c r="G208" s="1"/>
      <x:c r="H208" s="1"/>
      <x:c r="I208" s="1"/>
      <x:c r="J208" s="1"/>
    </x:row>
    <x:row r="209" ht="6" customHeight="1">
      <x:c r="A209" s="1"/>
      <x:c r="B209" s="3"/>
      <x:c r="C209" s="1"/>
      <x:c r="D209" s="3"/>
      <x:c r="E209" s="1"/>
      <x:c r="F209" s="3"/>
      <x:c r="G209" s="1"/>
      <x:c r="H209" s="1"/>
      <x:c r="I209" s="1"/>
      <x:c r="J209" s="1"/>
    </x:row>
    <x:row r="210" ht="6" customHeight="1">
      <x:c r="A210" s="1"/>
      <x:c r="B210" s="3"/>
      <x:c r="C210" s="1"/>
      <x:c r="D210" s="3"/>
      <x:c r="E210" s="1"/>
      <x:c r="F210" s="3"/>
      <x:c r="G210" s="1"/>
      <x:c r="H210" s="1"/>
      <x:c r="I210" s="1"/>
      <x:c r="J210" s="1"/>
    </x:row>
    <x:row r="211" ht="6" customHeight="1">
      <x:c r="A211" s="1"/>
      <x:c r="B211" s="3"/>
      <x:c r="C211" s="1"/>
      <x:c r="D211" s="3"/>
      <x:c r="E211" s="1"/>
      <x:c r="F211" s="3"/>
      <x:c r="G211" s="1"/>
      <x:c r="H211" s="1"/>
      <x:c r="I211" s="1"/>
      <x:c r="J211" s="1"/>
    </x:row>
    <x:row r="212" ht="6" customHeight="1">
      <x:c r="A212" s="1"/>
      <x:c r="B212" s="3"/>
      <x:c r="C212" s="1"/>
      <x:c r="D212" s="3"/>
      <x:c r="E212" s="1"/>
      <x:c r="F212" s="3"/>
      <x:c r="G212" s="1"/>
      <x:c r="H212" s="1"/>
      <x:c r="I212" s="1"/>
      <x:c r="J212" s="1"/>
    </x:row>
    <x:row r="213" ht="6" customHeight="1">
      <x:c r="A213" s="1"/>
      <x:c r="B213" s="3"/>
      <x:c r="C213" s="1"/>
      <x:c r="D213" s="3"/>
      <x:c r="E213" s="1"/>
      <x:c r="F213" s="3"/>
      <x:c r="G213" s="1"/>
      <x:c r="H213" s="1"/>
      <x:c r="I213" s="1"/>
      <x:c r="J213" s="1"/>
    </x:row>
    <x:row r="214" ht="6" customHeight="1">
      <x:c r="A214" s="1"/>
      <x:c r="B214" s="3"/>
      <x:c r="C214" s="1"/>
      <x:c r="D214" s="3"/>
      <x:c r="E214" s="1"/>
      <x:c r="F214" s="3"/>
      <x:c r="G214" s="1"/>
      <x:c r="H214" s="1"/>
      <x:c r="I214" s="1"/>
      <x:c r="J214" s="1"/>
    </x:row>
    <x:row r="215" ht="6" customHeight="1">
      <x:c r="A215" s="1"/>
      <x:c r="B215" s="3"/>
      <x:c r="C215" s="1"/>
      <x:c r="D215" s="3"/>
      <x:c r="E215" s="1"/>
      <x:c r="F215" s="3"/>
      <x:c r="G215" s="1"/>
      <x:c r="H215" s="1"/>
      <x:c r="I215" s="1"/>
      <x:c r="J215" s="1"/>
    </x:row>
    <x:row r="216" ht="6" customHeight="1">
      <x:c r="A216" s="1"/>
      <x:c r="B216" s="3"/>
      <x:c r="C216" s="1"/>
      <x:c r="D216" s="3"/>
      <x:c r="E216" s="1"/>
      <x:c r="F216" s="3"/>
      <x:c r="G216" s="1"/>
      <x:c r="H216" s="1"/>
      <x:c r="I216" s="1"/>
      <x:c r="J216" s="1"/>
    </x:row>
    <x:row r="217" ht="6" customHeight="1">
      <x:c r="A217" s="1"/>
      <x:c r="B217" s="3"/>
      <x:c r="C217" s="1"/>
      <x:c r="D217" s="3"/>
      <x:c r="E217" s="1"/>
      <x:c r="F217" s="3"/>
      <x:c r="G217" s="1"/>
      <x:c r="H217" s="1"/>
      <x:c r="I217" s="1"/>
      <x:c r="J217" s="1"/>
    </x:row>
    <x:row r="218" ht="6" customHeight="1">
      <x:c r="A218" s="1"/>
      <x:c r="B218" s="3"/>
      <x:c r="C218" s="1"/>
      <x:c r="D218" s="3"/>
      <x:c r="E218" s="1"/>
      <x:c r="F218" s="3"/>
      <x:c r="G218" s="1"/>
      <x:c r="H218" s="1"/>
      <x:c r="I218" s="1"/>
      <x:c r="J218" s="1"/>
    </x:row>
    <x:row r="219" ht="6" customHeight="1">
      <x:c r="A219" s="1"/>
      <x:c r="B219" s="3"/>
      <x:c r="C219" s="1"/>
      <x:c r="D219" s="3"/>
      <x:c r="E219" s="1"/>
      <x:c r="F219" s="3"/>
      <x:c r="G219" s="1"/>
      <x:c r="H219" s="1"/>
      <x:c r="I219" s="1"/>
      <x:c r="J219" s="1"/>
    </x:row>
    <x:row r="220" ht="6" customHeight="1">
      <x:c r="A220" s="1"/>
      <x:c r="B220" s="3"/>
      <x:c r="C220" s="1"/>
      <x:c r="D220" s="3"/>
      <x:c r="E220" s="1"/>
      <x:c r="F220" s="3"/>
      <x:c r="G220" s="1"/>
      <x:c r="H220" s="1"/>
      <x:c r="I220" s="1"/>
      <x:c r="J220" s="1"/>
    </x:row>
    <x:row r="221" ht="6" customHeight="1">
      <x:c r="A221" s="1"/>
      <x:c r="B221" s="3"/>
      <x:c r="C221" s="1"/>
      <x:c r="D221" s="3"/>
      <x:c r="E221" s="1"/>
      <x:c r="F221" s="3"/>
      <x:c r="G221" s="1"/>
      <x:c r="H221" s="1"/>
      <x:c r="I221" s="1"/>
      <x:c r="J221" s="1"/>
    </x:row>
    <x:row r="222" ht="6" customHeight="1">
      <x:c r="A222" s="1"/>
      <x:c r="B222" s="3"/>
      <x:c r="C222" s="1"/>
      <x:c r="D222" s="3"/>
      <x:c r="E222" s="1"/>
      <x:c r="F222" s="3"/>
      <x:c r="G222" s="1"/>
      <x:c r="H222" s="1"/>
      <x:c r="I222" s="1"/>
      <x:c r="J222" s="1"/>
    </x:row>
    <x:row r="223" ht="6" customHeight="1">
      <x:c r="A223" s="1"/>
      <x:c r="B223" s="3"/>
      <x:c r="C223" s="1"/>
      <x:c r="D223" s="3"/>
      <x:c r="E223" s="1"/>
      <x:c r="F223" s="3"/>
      <x:c r="G223" s="1"/>
      <x:c r="H223" s="1"/>
      <x:c r="I223" s="1"/>
      <x:c r="J223" s="1"/>
    </x:row>
    <x:row r="224" ht="6" customHeight="1">
      <x:c r="A224" s="1"/>
      <x:c r="B224" s="3"/>
      <x:c r="C224" s="1"/>
      <x:c r="D224" s="3"/>
      <x:c r="E224" s="1"/>
      <x:c r="F224" s="3"/>
      <x:c r="G224" s="1"/>
      <x:c r="H224" s="1"/>
      <x:c r="I224" s="1"/>
      <x:c r="J224" s="1"/>
    </x:row>
    <x:row r="225" ht="6" customHeight="1">
      <x:c r="A225" s="1"/>
      <x:c r="B225" s="3"/>
      <x:c r="C225" s="1"/>
      <x:c r="D225" s="3"/>
      <x:c r="E225" s="1"/>
      <x:c r="F225" s="3"/>
      <x:c r="G225" s="1"/>
      <x:c r="H225" s="1"/>
      <x:c r="I225" s="1"/>
      <x:c r="J225" s="1"/>
    </x:row>
    <x:row r="226" ht="6" customHeight="1">
      <x:c r="A226" s="1"/>
      <x:c r="B226" s="3"/>
      <x:c r="C226" s="1"/>
      <x:c r="D226" s="3"/>
      <x:c r="E226" s="1"/>
      <x:c r="F226" s="3"/>
      <x:c r="G226" s="1"/>
      <x:c r="H226" s="1"/>
      <x:c r="I226" s="1"/>
      <x:c r="J226" s="1"/>
    </x:row>
    <x:row r="227" ht="6" customHeight="1">
      <x:c r="A227" s="1"/>
      <x:c r="B227" s="3"/>
      <x:c r="C227" s="1"/>
      <x:c r="D227" s="3"/>
      <x:c r="E227" s="1"/>
      <x:c r="F227" s="3"/>
      <x:c r="G227" s="1"/>
      <x:c r="H227" s="1"/>
      <x:c r="I227" s="1"/>
      <x:c r="J227" s="1"/>
    </x:row>
    <x:row r="228" ht="6" customHeight="1">
      <x:c r="A228" s="1"/>
      <x:c r="B228" s="3"/>
      <x:c r="C228" s="1"/>
      <x:c r="D228" s="3"/>
      <x:c r="E228" s="1"/>
      <x:c r="F228" s="3"/>
      <x:c r="G228" s="1"/>
      <x:c r="H228" s="1"/>
      <x:c r="I228" s="1"/>
      <x:c r="J228" s="1"/>
    </x:row>
    <x:row r="229" ht="7.900000095367432" customHeight="1">
      <x:c r="A229" s="2"/>
      <x:c r="B229" s="2"/>
      <x:c r="C229" s="2"/>
      <x:c r="D229" s="77"/>
      <x:c r="E229" s="2"/>
      <x:c r="F229" s="77"/>
      <x:c r="G229" s="2"/>
      <x:c r="H229" s="2"/>
      <x:c r="I229" s="2"/>
      <x:c r="J229" s="2"/>
    </x:row>
    <x:row r="230" ht="7.900000095367432" customHeight="1"/>
    <x:row r="231" ht="7.900000095367432" customHeight="1"/>
    <x:row r="232" ht="7.900000095367432" customHeight="1"/>
    <x:row r="233" ht="7.900000095367432" customHeight="1"/>
    <x:row r="234" ht="7.900000095367432" customHeight="1"/>
    <x:row r="235" ht="7.900000095367432" customHeight="1"/>
    <x:row r="236" ht="7.900000095367432" customHeight="1"/>
    <x:row r="237" ht="7.900000095367432" customHeight="1"/>
    <x:row r="238" ht="7.900000095367432" customHeight="1"/>
    <x:row r="239" ht="7.900000095367432" customHeight="1"/>
    <x:row r="240" ht="7.900000095367432" customHeight="1"/>
    <x:row r="241" ht="7.900000095367432" customHeight="1"/>
    <x:row r="242" ht="7.900000095367432" customHeight="1"/>
    <x:row r="243" ht="7.900000095367432" customHeight="1"/>
    <x:row r="244" ht="7.900000095367432" customHeight="1"/>
    <x:row r="245" ht="7.900000095367432" customHeight="1"/>
    <x:row r="246" ht="7.900000095367432" customHeight="1"/>
    <x:row r="247" ht="7.900000095367432" customHeight="1"/>
    <x:row r="248" ht="7.900000095367432" customHeight="1"/>
    <x:row r="249" ht="7.900000095367432" customHeight="1"/>
    <x:row r="250" ht="7.900000095367432" customHeight="1"/>
    <x:row r="251" ht="7.900000095367432" customHeight="1"/>
    <x:row r="252" ht="7.900000095367432" customHeight="1"/>
    <x:row r="253" ht="7.900000095367432" customHeight="1"/>
    <x:row r="254" ht="7.900000095367432" customHeight="1"/>
    <x:row r="255" ht="7.900000095367432" customHeight="1"/>
    <x:row r="256" ht="7.900000095367432" customHeight="1"/>
    <x:row r="257" ht="7.900000095367432" customHeight="1"/>
    <x:row r="258" ht="7.900000095367432" customHeight="1"/>
    <x:row r="259" ht="7.900000095367432" customHeight="1"/>
    <x:row r="260" ht="7.900000095367432" customHeight="1"/>
    <x:row r="261" ht="7.900000095367432" customHeight="1"/>
    <x:row r="262" ht="7.900000095367432" customHeight="1"/>
    <x:row r="263" ht="7.900000095367432" customHeight="1"/>
    <x:row r="264" ht="7.900000095367432" customHeight="1"/>
    <x:row r="265" ht="7.900000095367432" customHeight="1"/>
    <x:row r="266" ht="7.900000095367432" customHeight="1"/>
    <x:row r="267" ht="7.900000095367432" customHeight="1"/>
    <x:row r="268" ht="7.900000095367432" customHeight="1"/>
    <x:row r="269" ht="7.900000095367432" customHeight="1"/>
    <x:row r="270" ht="7.900000095367432" customHeight="1"/>
    <x:row r="271" ht="7.900000095367432" customHeight="1"/>
    <x:row r="272" ht="7.900000095367432" customHeight="1"/>
    <x:row r="273" ht="7.900000095367432" customHeight="1"/>
    <x:row r="274" ht="7.900000095367432" customHeight="1"/>
    <x:row r="275" ht="7.900000095367432" customHeight="1"/>
    <x:row r="276" ht="7.900000095367432" customHeight="1"/>
    <x:row r="277" ht="7.900000095367432" customHeight="1"/>
    <x:row r="278" ht="7.900000095367432" customHeight="1"/>
    <x:row r="279" ht="7.900000095367432" customHeight="1"/>
    <x:row r="280" ht="7.900000095367432" customHeight="1"/>
    <x:row r="281" ht="7.900000095367432" customHeight="1"/>
    <x:row r="282" ht="7.900000095367432" customHeight="1"/>
    <x:row r="283" ht="7.900000095367432" customHeight="1"/>
    <x:row r="284" ht="7.900000095367432" customHeight="1"/>
    <x:row r="285" ht="7.900000095367432" customHeight="1"/>
    <x:row r="286" ht="7.900000095367432" customHeight="1"/>
    <x:row r="287" ht="7.900000095367432" customHeight="1"/>
    <x:row r="288" ht="7.900000095367432" customHeight="1"/>
    <x:row r="289" ht="7.900000095367432" customHeight="1"/>
    <x:row r="290" ht="7.900000095367432" customHeight="1"/>
    <x:row r="291" ht="7.900000095367432" customHeight="1"/>
    <x:row r="292" ht="7.900000095367432" customHeight="1"/>
    <x:row r="293" ht="7.900000095367432" customHeight="1"/>
    <x:row r="294" ht="7.900000095367432" customHeight="1"/>
    <x:row r="295" ht="7.900000095367432" customHeight="1"/>
    <x:row r="296" ht="7.900000095367432" customHeight="1"/>
    <x:row r="297" ht="7.900000095367432" customHeight="1"/>
    <x:row r="298" ht="7.900000095367432" customHeight="1"/>
    <x:row r="299" ht="7.900000095367432" customHeight="1"/>
    <x:row r="300" ht="7.900000095367432" customHeight="1"/>
    <x:row r="301" ht="7.900000095367432" customHeight="1"/>
    <x:row r="302" ht="7.900000095367432" customHeight="1"/>
    <x:row r="303" ht="7.900000095367432" customHeight="1"/>
    <x:row r="304" ht="7.900000095367432" customHeight="1"/>
    <x:row r="305" ht="7.900000095367432" customHeight="1"/>
    <x:row r="306" ht="7.900000095367432" customHeight="1"/>
    <x:row r="307" ht="7.900000095367432" customHeight="1"/>
    <x:row r="308" ht="7.900000095367432" customHeight="1"/>
    <x:row r="309" ht="7.900000095367432" customHeight="1"/>
    <x:row r="310" ht="7.900000095367432" customHeight="1"/>
    <x:row r="311" ht="7.900000095367432" customHeight="1"/>
    <x:row r="312" ht="7.900000095367432" customHeight="1"/>
    <x:row r="313" ht="7.900000095367432" customHeight="1"/>
    <x:row r="314" ht="7.900000095367432" customHeight="1"/>
    <x:row r="315" ht="7.900000095367432" customHeight="1"/>
    <x:row r="316" ht="7.900000095367432" customHeight="1"/>
    <x:row r="317" ht="7.900000095367432" customHeight="1"/>
    <x:row r="318" ht="7.900000095367432" customHeight="1"/>
    <x:row r="319" ht="7.900000095367432" customHeight="1"/>
    <x:row r="320" ht="7.900000095367432" customHeight="1"/>
    <x:row r="321" ht="7.900000095367432" customHeight="1"/>
    <x:row r="322" ht="7.900000095367432" customHeight="1"/>
    <x:row r="323" ht="7.900000095367432" customHeight="1"/>
    <x:row r="324" ht="7.900000095367432" customHeight="1"/>
    <x:row r="325" ht="7.900000095367432" customHeight="1"/>
    <x:row r="326" ht="7.900000095367432" customHeight="1"/>
    <x:row r="327" ht="7.900000095367432" customHeight="1"/>
    <x:row r="328" ht="7.900000095367432" customHeight="1"/>
    <x:row r="329" ht="7.900000095367432" customHeight="1"/>
    <x:row r="330" ht="7.900000095367432" customHeight="1"/>
    <x:row r="331" ht="7.900000095367432" customHeight="1"/>
    <x:row r="332" ht="7.900000095367432" customHeight="1"/>
    <x:row r="333" ht="7.900000095367432" customHeight="1"/>
    <x:row r="334" ht="7.900000095367432" customHeight="1"/>
    <x:row r="335" ht="7.900000095367432" customHeight="1"/>
    <x:row r="336" ht="7.900000095367432" customHeight="1"/>
    <x:row r="337" ht="7.900000095367432" customHeight="1"/>
    <x:row r="338" ht="7.900000095367432" customHeight="1"/>
    <x:row r="339" ht="7.900000095367432" customHeight="1"/>
    <x:row r="340" ht="7.900000095367432" customHeight="1"/>
    <x:row r="341" ht="7.900000095367432" customHeight="1"/>
    <x:row r="342" ht="7.900000095367432" customHeight="1"/>
    <x:row r="343" ht="7.900000095367432" customHeight="1"/>
    <x:row r="344" ht="7.900000095367432" customHeight="1"/>
    <x:row r="345" ht="7.900000095367432" customHeight="1"/>
    <x:row r="346" ht="7.900000095367432" customHeight="1"/>
    <x:row r="347" ht="7.900000095367432" customHeight="1"/>
    <x:row r="348" ht="7.900000095367432" customHeight="1"/>
    <x:row r="349" ht="7.900000095367432" customHeight="1"/>
    <x:row r="350" ht="7.900000095367432" customHeight="1"/>
    <x:row r="351" ht="7.900000095367432" customHeight="1"/>
    <x:row r="352" ht="7.900000095367432" customHeight="1"/>
    <x:row r="353" ht="7.900000095367432" customHeight="1"/>
    <x:row r="354" ht="7.900000095367432" customHeight="1"/>
    <x:row r="355" ht="7.900000095367432" customHeight="1"/>
    <x:row r="356" ht="7.900000095367432" customHeight="1"/>
    <x:row r="357" ht="7.900000095367432" customHeight="1"/>
    <x:row r="358" ht="7.900000095367432" customHeight="1"/>
    <x:row r="359" ht="7.900000095367432" customHeight="1"/>
    <x:row r="360" ht="7.900000095367432" customHeight="1"/>
    <x:row r="361" ht="7.900000095367432" customHeight="1"/>
    <x:row r="362" ht="7.900000095367432" customHeight="1"/>
    <x:row r="363" ht="7.900000095367432" customHeight="1"/>
    <x:row r="364" ht="7.900000095367432" customHeight="1"/>
    <x:row r="365" ht="7.900000095367432" customHeight="1"/>
    <x:row r="366" ht="7.900000095367432" customHeight="1"/>
    <x:row r="367" ht="7.900000095367432" customHeight="1"/>
    <x:row r="368" ht="7.900000095367432" customHeight="1"/>
    <x:row r="369" ht="7.900000095367432" customHeight="1"/>
    <x:row r="370" ht="7.900000095367432" customHeight="1"/>
    <x:row r="371" ht="7.900000095367432" customHeight="1"/>
    <x:row r="372" ht="7.900000095367432" customHeight="1"/>
    <x:row r="373" ht="7.900000095367432" customHeight="1"/>
    <x:row r="374" ht="7.900000095367432" customHeight="1"/>
    <x:row r="375" ht="7.900000095367432" customHeight="1"/>
    <x:row r="376" ht="7.900000095367432" customHeight="1"/>
    <x:row r="377" ht="7.900000095367432" customHeight="1"/>
    <x:row r="378" ht="7.900000095367432" customHeight="1"/>
    <x:row r="379" ht="7.900000095367432" customHeight="1"/>
    <x:row r="380" ht="7.900000095367432" customHeight="1"/>
    <x:row r="381" ht="7.900000095367432" customHeight="1"/>
    <x:row r="382" ht="7.900000095367432" customHeight="1"/>
    <x:row r="383" ht="7.900000095367432" customHeight="1"/>
    <x:row r="384" ht="7.900000095367432" customHeight="1"/>
    <x:row r="385" ht="7.900000095367432" customHeight="1"/>
    <x:row r="386" ht="7.900000095367432" customHeight="1"/>
    <x:row r="387" ht="7.900000095367432" customHeight="1"/>
    <x:row r="388" ht="7.900000095367432" customHeight="1"/>
    <x:row r="389" ht="7.900000095367432" customHeight="1"/>
    <x:row r="390" ht="7.900000095367432" customHeight="1"/>
    <x:row r="391" ht="7.900000095367432" customHeight="1"/>
    <x:row r="392" ht="7.900000095367432" customHeight="1"/>
    <x:row r="393" ht="7.900000095367432" customHeight="1"/>
    <x:row r="394" ht="7.900000095367432" customHeight="1"/>
    <x:row r="395" ht="7.900000095367432" customHeight="1"/>
    <x:row r="396" ht="7.900000095367432" customHeight="1"/>
    <x:row r="397" ht="7.900000095367432" customHeight="1"/>
    <x:row r="398" ht="7.900000095367432" customHeight="1"/>
    <x:row r="399" ht="7.900000095367432" customHeight="1"/>
    <x:row r="400" ht="7.900000095367432" customHeight="1"/>
    <x:row r="401" ht="7.900000095367432" customHeight="1"/>
    <x:row r="402" ht="7.900000095367432" customHeight="1"/>
    <x:row r="403" ht="7.900000095367432" customHeight="1"/>
    <x:row r="404" ht="7.900000095367432" customHeight="1"/>
    <x:row r="405" ht="7.900000095367432" customHeight="1"/>
    <x:row r="406" ht="7.900000095367432" customHeight="1"/>
    <x:row r="407" ht="7.900000095367432" customHeight="1"/>
    <x:row r="408" ht="7.900000095367432" customHeight="1"/>
    <x:row r="409" ht="7.900000095367432" customHeight="1"/>
    <x:row r="410" ht="7.900000095367432" customHeight="1"/>
    <x:row r="411" ht="7.900000095367432" customHeight="1"/>
    <x:row r="412" ht="7.900000095367432" customHeight="1"/>
    <x:row r="413" ht="7.900000095367432" customHeight="1"/>
    <x:row r="414" ht="7.900000095367432" customHeight="1"/>
    <x:row r="415" ht="7.900000095367432" customHeight="1"/>
    <x:row r="416" ht="7.900000095367432" customHeight="1"/>
    <x:row r="417" ht="7.900000095367432" customHeight="1"/>
    <x:row r="418" ht="7.900000095367432" customHeight="1"/>
    <x:row r="419" ht="7.900000095367432" customHeight="1"/>
    <x:row r="420" ht="7.900000095367432" customHeight="1"/>
    <x:row r="421" ht="7.900000095367432" customHeight="1"/>
    <x:row r="422" ht="7.900000095367432" customHeight="1"/>
    <x:row r="423" ht="7.900000095367432" customHeight="1"/>
    <x:row r="424" ht="7.900000095367432" customHeight="1"/>
    <x:row r="425" ht="7.900000095367432" customHeight="1"/>
    <x:row r="426" ht="7.900000095367432" customHeight="1"/>
    <x:row r="427" ht="7.900000095367432" customHeight="1"/>
    <x:row r="428" ht="7.900000095367432" customHeight="1"/>
    <x:row r="429" ht="7.900000095367432" customHeight="1"/>
    <x:row r="430" ht="7.900000095367432" customHeight="1"/>
    <x:row r="431" ht="7.900000095367432" customHeight="1"/>
    <x:row r="432" ht="7.900000095367432" customHeight="1"/>
    <x:row r="433" ht="7.900000095367432" customHeight="1"/>
    <x:row r="434" ht="7.900000095367432" customHeight="1"/>
    <x:row r="435" ht="7.900000095367432" customHeight="1"/>
    <x:row r="436" ht="7.900000095367432" customHeight="1"/>
    <x:row r="437" ht="7.900000095367432" customHeight="1"/>
    <x:row r="438" ht="7.900000095367432" customHeight="1"/>
    <x:row r="439" ht="7.900000095367432" customHeight="1"/>
    <x:row r="440" ht="7.900000095367432" customHeight="1"/>
    <x:row r="441" ht="7.900000095367432" customHeight="1"/>
    <x:row r="442" ht="7.900000095367432" customHeight="1"/>
    <x:row r="443" ht="7.900000095367432" customHeight="1"/>
    <x:row r="444" ht="7.900000095367432" customHeight="1"/>
    <x:row r="445" ht="7.900000095367432" customHeight="1"/>
    <x:row r="446" ht="7.900000095367432" customHeight="1"/>
    <x:row r="447" ht="7.900000095367432" customHeight="1"/>
    <x:row r="448" ht="7.900000095367432" customHeight="1"/>
    <x:row r="449" ht="7.900000095367432" customHeight="1"/>
    <x:row r="450" ht="7.900000095367432" customHeight="1"/>
    <x:row r="451" ht="7.900000095367432" customHeight="1"/>
    <x:row r="452" ht="7.900000095367432" customHeight="1"/>
    <x:row r="453" ht="7.900000095367432" customHeight="1"/>
    <x:row r="454" ht="7.900000095367432" customHeight="1"/>
    <x:row r="455" ht="7.900000095367432" customHeight="1"/>
    <x:row r="456" ht="7.900000095367432" customHeight="1"/>
    <x:row r="457" ht="7.900000095367432" customHeight="1"/>
    <x:row r="458" ht="7.900000095367432" customHeight="1"/>
    <x:row r="459" ht="7.900000095367432" customHeight="1"/>
    <x:row r="460" ht="7.900000095367432" customHeight="1"/>
    <x:row r="461" ht="7.900000095367432" customHeight="1"/>
    <x:row r="462" ht="7.900000095367432" customHeight="1"/>
    <x:row r="463" ht="7.900000095367432" customHeight="1"/>
    <x:row r="464" ht="7.900000095367432" customHeight="1"/>
    <x:row r="465" ht="7.900000095367432" customHeight="1"/>
    <x:row r="466" ht="7.900000095367432" customHeight="1"/>
    <x:row r="467" ht="7.900000095367432" customHeight="1"/>
    <x:row r="468" ht="7.900000095367432" customHeight="1"/>
    <x:row r="469" ht="7.900000095367432" customHeight="1"/>
    <x:row r="470" ht="7.900000095367432" customHeight="1"/>
    <x:row r="471" ht="7.900000095367432" customHeight="1"/>
    <x:row r="472" ht="7.900000095367432" customHeight="1"/>
    <x:row r="473" ht="7.900000095367432" customHeight="1"/>
    <x:row r="474" ht="7.900000095367432" customHeight="1"/>
    <x:row r="475" ht="7.900000095367432" customHeight="1"/>
    <x:row r="476" ht="7.900000095367432" customHeight="1"/>
    <x:row r="477" ht="7.900000095367432" customHeight="1"/>
    <x:row r="478" ht="7.900000095367432" customHeight="1"/>
    <x:row r="479" ht="7.900000095367432" customHeight="1"/>
    <x:row r="480" ht="7.900000095367432" customHeight="1"/>
    <x:row r="481" ht="7.900000095367432" customHeight="1"/>
    <x:row r="482" ht="7.900000095367432" customHeight="1"/>
    <x:row r="483" ht="7.900000095367432" customHeight="1"/>
    <x:row r="484" ht="7.900000095367432" customHeight="1"/>
    <x:row r="485" ht="7.900000095367432" customHeight="1"/>
    <x:row r="486" ht="7.900000095367432" customHeight="1"/>
    <x:row r="487" ht="7.900000095367432" customHeight="1"/>
    <x:row r="488" ht="7.900000095367432" customHeight="1"/>
    <x:row r="489" ht="7.900000095367432" customHeight="1"/>
    <x:row r="490" ht="7.900000095367432" customHeight="1"/>
    <x:row r="491" ht="7.900000095367432" customHeight="1"/>
    <x:row r="492" ht="7.900000095367432" customHeight="1"/>
    <x:row r="493" ht="7.900000095367432" customHeight="1"/>
    <x:row r="494" ht="7.900000095367432" customHeight="1"/>
    <x:row r="495" ht="7.900000095367432" customHeight="1"/>
    <x:row r="496" ht="7.900000095367432" customHeight="1"/>
    <x:row r="497" ht="7.900000095367432" customHeight="1"/>
    <x:row r="498" ht="7.900000095367432" customHeight="1"/>
    <x:row r="499" ht="7.900000095367432" customHeight="1"/>
    <x:row r="500" ht="7.900000095367432" customHeight="1"/>
    <x:row r="501" ht="7.900000095367432" customHeight="1"/>
    <x:row r="502" ht="7.900000095367432" customHeight="1"/>
    <x:row r="503" ht="7.900000095367432" customHeight="1"/>
    <x:row r="504" ht="7.900000095367432" customHeight="1"/>
    <x:row r="505" ht="7.900000095367432" customHeight="1"/>
    <x:row r="506" ht="7.900000095367432" customHeight="1"/>
    <x:row r="507" ht="7.900000095367432" customHeight="1"/>
    <x:row r="508" ht="7.900000095367432" customHeight="1"/>
    <x:row r="509" ht="7.900000095367432" customHeight="1"/>
    <x:row r="510" ht="7.900000095367432" customHeight="1"/>
    <x:row r="511" ht="7.900000095367432" customHeight="1"/>
    <x:row r="512" ht="7.900000095367432" customHeight="1"/>
    <x:row r="513" ht="7.900000095367432" customHeight="1"/>
    <x:row r="514" ht="7.900000095367432" customHeight="1"/>
    <x:row r="515" ht="7.900000095367432" customHeight="1"/>
    <x:row r="516" ht="7.900000095367432" customHeight="1"/>
    <x:row r="517" ht="7.900000095367432" customHeight="1"/>
    <x:row r="518" ht="7.900000095367432" customHeight="1"/>
    <x:row r="519" ht="7.900000095367432" customHeight="1"/>
    <x:row r="520" ht="7.900000095367432" customHeight="1"/>
    <x:row r="521" ht="7.900000095367432" customHeight="1"/>
    <x:row r="522" ht="7.900000095367432" customHeight="1"/>
    <x:row r="523" ht="7.900000095367432" customHeight="1"/>
    <x:row r="524" ht="7.900000095367432" customHeight="1"/>
    <x:row r="525" ht="7.900000095367432" customHeight="1"/>
    <x:row r="526" ht="7.900000095367432" customHeight="1"/>
    <x:row r="527" ht="7.900000095367432" customHeight="1"/>
    <x:row r="528" ht="7.900000095367432" customHeight="1"/>
    <x:row r="529" ht="7.900000095367432" customHeight="1"/>
    <x:row r="530" ht="7.900000095367432" customHeight="1"/>
    <x:row r="531" ht="7.900000095367432" customHeight="1"/>
    <x:row r="532" ht="7.900000095367432" customHeight="1"/>
    <x:row r="533" ht="7.900000095367432" customHeight="1"/>
    <x:row r="534" ht="7.900000095367432" customHeight="1"/>
    <x:row r="535" ht="7.900000095367432" customHeight="1"/>
    <x:row r="536" ht="7.900000095367432" customHeight="1"/>
    <x:row r="537" ht="7.900000095367432" customHeight="1"/>
    <x:row r="538" ht="7.900000095367432" customHeight="1"/>
    <x:row r="539" ht="7.900000095367432" customHeight="1"/>
    <x:row r="540" ht="7.900000095367432" customHeight="1"/>
    <x:row r="541" ht="7.900000095367432" customHeight="1"/>
    <x:row r="542" ht="7.900000095367432" customHeight="1"/>
    <x:row r="543" ht="7.900000095367432" customHeight="1"/>
    <x:row r="544" ht="7.900000095367432" customHeight="1"/>
    <x:row r="545" ht="7.900000095367432" customHeight="1"/>
    <x:row r="546" ht="7.900000095367432" customHeight="1"/>
    <x:row r="547" ht="7.900000095367432" customHeight="1"/>
    <x:row r="548" ht="7.900000095367432" customHeight="1"/>
    <x:row r="549" ht="7.900000095367432" customHeight="1"/>
    <x:row r="550" ht="7.900000095367432" customHeight="1"/>
    <x:row r="551" ht="7.900000095367432" customHeight="1"/>
    <x:row r="552" ht="7.900000095367432" customHeight="1"/>
    <x:row r="553" ht="7.900000095367432" customHeight="1"/>
    <x:row r="554" ht="7.900000095367432" customHeight="1"/>
    <x:row r="555" ht="7.900000095367432" customHeight="1"/>
    <x:row r="556" ht="7.900000095367432" customHeight="1"/>
    <x:row r="557" ht="7.900000095367432" customHeight="1"/>
    <x:row r="558" ht="7.900000095367432" customHeight="1"/>
    <x:row r="559" ht="7.900000095367432" customHeight="1"/>
    <x:row r="560" ht="7.900000095367432" customHeight="1"/>
    <x:row r="561" ht="7.900000095367432" customHeight="1"/>
    <x:row r="562" ht="7.900000095367432" customHeight="1"/>
    <x:row r="563" ht="7.900000095367432" customHeight="1"/>
    <x:row r="564" ht="7.900000095367432" customHeight="1"/>
    <x:row r="565" ht="7.900000095367432" customHeight="1"/>
    <x:row r="566" ht="7.900000095367432" customHeight="1"/>
    <x:row r="567" ht="7.900000095367432" customHeight="1"/>
    <x:row r="568" ht="7.900000095367432" customHeight="1"/>
    <x:row r="569" ht="7.900000095367432" customHeight="1"/>
    <x:row r="570" ht="7.900000095367432" customHeight="1"/>
    <x:row r="571" ht="7.900000095367432" customHeight="1"/>
    <x:row r="572" ht="7.900000095367432" customHeight="1"/>
    <x:row r="573" ht="7.900000095367432" customHeight="1"/>
    <x:row r="574" ht="7.900000095367432" customHeight="1"/>
    <x:row r="575" ht="7.900000095367432" customHeight="1"/>
    <x:row r="576" ht="7.900000095367432" customHeight="1"/>
    <x:row r="577" ht="7.900000095367432" customHeight="1"/>
    <x:row r="578" ht="7.900000095367432" customHeight="1"/>
    <x:row r="579" ht="7.900000095367432" customHeight="1"/>
    <x:row r="580" ht="7.900000095367432" customHeight="1"/>
    <x:row r="581" ht="7.900000095367432" customHeight="1"/>
    <x:row r="582" ht="7.900000095367432" customHeight="1"/>
    <x:row r="583" ht="7.900000095367432" customHeight="1"/>
    <x:row r="584" ht="7.900000095367432" customHeight="1"/>
    <x:row r="585" ht="7.900000095367432" customHeight="1"/>
    <x:row r="586" ht="7.900000095367432" customHeight="1"/>
    <x:row r="587" ht="7.900000095367432" customHeight="1"/>
    <x:row r="588" ht="7.900000095367432" customHeight="1"/>
    <x:row r="589" ht="7.900000095367432" customHeight="1"/>
    <x:row r="590" ht="7.900000095367432" customHeight="1"/>
    <x:row r="591" ht="7.900000095367432" customHeight="1"/>
    <x:row r="592" ht="7.900000095367432" customHeight="1"/>
    <x:row r="593" ht="7.900000095367432" customHeight="1"/>
    <x:row r="594" ht="7.900000095367432" customHeight="1"/>
    <x:row r="595" ht="7.900000095367432" customHeight="1"/>
    <x:row r="596" ht="7.900000095367432" customHeight="1"/>
    <x:row r="597" ht="7.900000095367432" customHeight="1"/>
    <x:row r="598" ht="7.900000095367432" customHeight="1"/>
    <x:row r="599" ht="7.900000095367432" customHeight="1"/>
    <x:row r="600" ht="7.900000095367432" customHeight="1"/>
    <x:row r="601" ht="7.900000095367432" customHeight="1"/>
    <x:row r="602" ht="7.900000095367432" customHeight="1"/>
    <x:row r="603" ht="7.900000095367432" customHeight="1"/>
    <x:row r="604" ht="7.900000095367432" customHeight="1"/>
    <x:row r="605" ht="7.900000095367432" customHeight="1"/>
    <x:row r="606" ht="7.900000095367432" customHeight="1"/>
    <x:row r="607" ht="7.900000095367432" customHeight="1"/>
    <x:row r="608" ht="7.900000095367432" customHeight="1"/>
    <x:row r="609" ht="7.900000095367432" customHeight="1"/>
    <x:row r="610" ht="7.900000095367432" customHeight="1"/>
    <x:row r="611" ht="7.900000095367432" customHeight="1"/>
    <x:row r="612" ht="7.900000095367432" customHeight="1"/>
    <x:row r="613" ht="7.900000095367432" customHeight="1"/>
    <x:row r="614" ht="7.900000095367432" customHeight="1"/>
    <x:row r="615" ht="7.900000095367432" customHeight="1"/>
    <x:row r="616" ht="7.900000095367432" customHeight="1"/>
    <x:row r="617" ht="7.900000095367432" customHeight="1"/>
    <x:row r="618" ht="7.900000095367432" customHeight="1"/>
    <x:row r="619" ht="7.900000095367432" customHeight="1"/>
    <x:row r="620" ht="7.900000095367432" customHeight="1"/>
    <x:row r="621" ht="7.900000095367432" customHeight="1"/>
    <x:row r="622" ht="7.900000095367432" customHeight="1"/>
    <x:row r="623" ht="7.900000095367432" customHeight="1"/>
    <x:row r="624" ht="7.900000095367432" customHeight="1"/>
    <x:row r="625" ht="7.900000095367432" customHeight="1"/>
    <x:row r="626" ht="7.900000095367432" customHeight="1"/>
    <x:row r="627" ht="7.900000095367432" customHeight="1"/>
    <x:row r="628" ht="7.900000095367432" customHeight="1"/>
    <x:row r="629" ht="7.900000095367432" customHeight="1"/>
    <x:row r="630" ht="7.900000095367432" customHeight="1"/>
    <x:row r="631" ht="7.900000095367432" customHeight="1"/>
    <x:row r="632" ht="7.900000095367432" customHeight="1"/>
    <x:row r="633" ht="7.900000095367432" customHeight="1"/>
    <x:row r="634" ht="7.900000095367432" customHeight="1"/>
    <x:row r="635" ht="7.900000095367432" customHeight="1"/>
    <x:row r="636" ht="7.900000095367432" customHeight="1"/>
    <x:row r="637" ht="7.900000095367432" customHeight="1"/>
    <x:row r="638" ht="7.900000095367432" customHeight="1"/>
    <x:row r="639" ht="7.900000095367432" customHeight="1"/>
    <x:row r="640" ht="7.900000095367432" customHeight="1"/>
    <x:row r="641" ht="7.900000095367432" customHeight="1"/>
    <x:row r="642" ht="7.900000095367432" customHeight="1"/>
    <x:row r="643" ht="7.900000095367432" customHeight="1"/>
    <x:row r="644" ht="7.900000095367432" customHeight="1"/>
    <x:row r="645" ht="7.900000095367432" customHeight="1"/>
    <x:row r="646" ht="7.900000095367432" customHeight="1"/>
    <x:row r="647" ht="7.900000095367432" customHeight="1"/>
    <x:row r="648" ht="7.900000095367432" customHeight="1"/>
    <x:row r="649" ht="7.900000095367432" customHeight="1"/>
    <x:row r="650" ht="7.900000095367432" customHeight="1"/>
    <x:row r="651" ht="7.900000095367432" customHeight="1"/>
    <x:row r="652" ht="7.900000095367432" customHeight="1"/>
    <x:row r="653" ht="7.900000095367432" customHeight="1"/>
    <x:row r="654" ht="7.900000095367432" customHeight="1"/>
    <x:row r="655" ht="7.900000095367432" customHeight="1"/>
    <x:row r="656" ht="7.900000095367432" customHeight="1"/>
    <x:row r="657" ht="7.900000095367432" customHeight="1"/>
    <x:row r="658" ht="7.900000095367432" customHeight="1"/>
    <x:row r="659" ht="7.900000095367432" customHeight="1"/>
    <x:row r="660" ht="7.900000095367432" customHeight="1"/>
    <x:row r="661" ht="7.900000095367432" customHeight="1"/>
    <x:row r="662" ht="7.900000095367432" customHeight="1"/>
    <x:row r="663" ht="7.900000095367432" customHeight="1"/>
    <x:row r="664" ht="7.900000095367432" customHeight="1"/>
    <x:row r="665" ht="7.900000095367432" customHeight="1"/>
    <x:row r="666" ht="7.900000095367432" customHeight="1"/>
    <x:row r="667" ht="7.900000095367432" customHeight="1"/>
    <x:row r="668" ht="7.900000095367432" customHeight="1"/>
    <x:row r="669" ht="7.900000095367432" customHeight="1"/>
    <x:row r="670" ht="7.900000095367432" customHeight="1"/>
    <x:row r="671" ht="7.900000095367432" customHeight="1"/>
    <x:row r="672" ht="7.900000095367432" customHeight="1"/>
    <x:row r="673" ht="7.900000095367432" customHeight="1"/>
    <x:row r="674" ht="7.900000095367432" customHeight="1"/>
    <x:row r="675" ht="7.900000095367432" customHeight="1"/>
    <x:row r="676" ht="7.900000095367432" customHeight="1"/>
    <x:row r="677" ht="7.900000095367432" customHeight="1"/>
    <x:row r="678" ht="7.900000095367432" customHeight="1"/>
    <x:row r="679" ht="7.900000095367432" customHeight="1"/>
    <x:row r="680" ht="7.900000095367432" customHeight="1"/>
    <x:row r="681" ht="7.900000095367432" customHeight="1"/>
    <x:row r="682" ht="7.900000095367432" customHeight="1"/>
    <x:row r="683" ht="7.900000095367432" customHeight="1"/>
    <x:row r="684" ht="7.900000095367432" customHeight="1"/>
    <x:row r="685" ht="7.900000095367432" customHeight="1"/>
    <x:row r="686" ht="7.900000095367432" customHeight="1"/>
    <x:row r="687" ht="7.900000095367432" customHeight="1"/>
    <x:row r="688" ht="7.900000095367432" customHeight="1"/>
    <x:row r="689" ht="7.900000095367432" customHeight="1"/>
    <x:row r="690" ht="7.900000095367432" customHeight="1"/>
    <x:row r="691" ht="7.900000095367432" customHeight="1"/>
    <x:row r="692" ht="7.900000095367432" customHeight="1"/>
    <x:row r="693" ht="7.900000095367432" customHeight="1"/>
    <x:row r="694" ht="7.900000095367432" customHeight="1"/>
    <x:row r="695" ht="7.900000095367432" customHeight="1"/>
    <x:row r="696" ht="7.900000095367432" customHeight="1"/>
    <x:row r="697" ht="7.900000095367432" customHeight="1"/>
    <x:row r="698" ht="7.900000095367432" customHeight="1"/>
    <x:row r="699" ht="7.900000095367432" customHeight="1"/>
    <x:row r="700" ht="7.900000095367432" customHeight="1"/>
    <x:row r="701" ht="7.900000095367432" customHeight="1"/>
    <x:row r="702" ht="7.900000095367432" customHeight="1"/>
    <x:row r="703" ht="7.900000095367432" customHeight="1"/>
    <x:row r="704" ht="7.900000095367432" customHeight="1"/>
    <x:row r="705" ht="7.900000095367432" customHeight="1"/>
    <x:row r="706" ht="7.900000095367432" customHeight="1"/>
    <x:row r="707" ht="7.900000095367432" customHeight="1"/>
    <x:row r="708" ht="7.900000095367432" customHeight="1"/>
    <x:row r="709" ht="7.900000095367432" customHeight="1"/>
    <x:row r="710" ht="7.900000095367432" customHeight="1"/>
    <x:row r="711" ht="7.900000095367432" customHeight="1"/>
    <x:row r="712" ht="7.900000095367432" customHeight="1"/>
    <x:row r="713" ht="7.900000095367432" customHeight="1"/>
    <x:row r="714" ht="7.900000095367432" customHeight="1"/>
    <x:row r="715" ht="7.900000095367432" customHeight="1"/>
    <x:row r="716" ht="7.900000095367432" customHeight="1"/>
    <x:row r="717" ht="7.900000095367432" customHeight="1"/>
    <x:row r="718" ht="7.900000095367432" customHeight="1"/>
    <x:row r="719" ht="7.900000095367432" customHeight="1"/>
    <x:row r="720" ht="7.900000095367432" customHeight="1"/>
    <x:row r="721" ht="7.900000095367432" customHeight="1"/>
    <x:row r="722" ht="7.900000095367432" customHeight="1"/>
    <x:row r="723" ht="7.900000095367432" customHeight="1"/>
    <x:row r="724" ht="7.900000095367432" customHeight="1"/>
    <x:row r="725" ht="7.900000095367432" customHeight="1"/>
    <x:row r="726" ht="7.900000095367432" customHeight="1"/>
    <x:row r="727" ht="7.900000095367432" customHeight="1"/>
    <x:row r="728" ht="7.900000095367432" customHeight="1"/>
    <x:row r="729" ht="7.900000095367432" customHeight="1"/>
    <x:row r="730" ht="7.900000095367432" customHeight="1"/>
    <x:row r="731" ht="7.900000095367432" customHeight="1"/>
    <x:row r="732" ht="7.900000095367432" customHeight="1"/>
    <x:row r="733" ht="7.900000095367432" customHeight="1"/>
    <x:row r="734" ht="7.900000095367432" customHeight="1"/>
    <x:row r="735" ht="7.900000095367432" customHeight="1"/>
    <x:row r="736" ht="7.900000095367432" customHeight="1"/>
    <x:row r="737" ht="7.900000095367432" customHeight="1"/>
    <x:row r="738" ht="7.900000095367432" customHeight="1"/>
    <x:row r="739" ht="7.900000095367432" customHeight="1"/>
    <x:row r="740" ht="7.900000095367432" customHeight="1"/>
    <x:row r="741" ht="7.900000095367432" customHeight="1"/>
    <x:row r="742" ht="7.900000095367432" customHeight="1"/>
    <x:row r="743" ht="7.900000095367432" customHeight="1"/>
    <x:row r="744" ht="7.900000095367432" customHeight="1"/>
    <x:row r="745" ht="7.900000095367432" customHeight="1"/>
    <x:row r="746" ht="7.900000095367432" customHeight="1"/>
    <x:row r="747" ht="7.900000095367432" customHeight="1"/>
    <x:row r="748" ht="7.900000095367432" customHeight="1"/>
    <x:row r="749" ht="7.900000095367432" customHeight="1"/>
    <x:row r="750" ht="7.900000095367432" customHeight="1"/>
    <x:row r="751" ht="7.900000095367432" customHeight="1"/>
    <x:row r="752" ht="7.900000095367432" customHeight="1"/>
    <x:row r="753" ht="7.900000095367432" customHeight="1"/>
    <x:row r="754" ht="7.900000095367432" customHeight="1"/>
    <x:row r="755" ht="7.900000095367432" customHeight="1"/>
    <x:row r="756" ht="7.900000095367432" customHeight="1"/>
    <x:row r="757" ht="7.900000095367432" customHeight="1"/>
    <x:row r="758" ht="7.900000095367432" customHeight="1"/>
    <x:row r="759" ht="7.900000095367432" customHeight="1"/>
    <x:row r="760" ht="7.900000095367432" customHeight="1"/>
    <x:row r="761" ht="7.900000095367432" customHeight="1"/>
    <x:row r="762" ht="7.900000095367432" customHeight="1"/>
    <x:row r="763" ht="7.900000095367432" customHeight="1"/>
    <x:row r="764" ht="7.900000095367432" customHeight="1"/>
    <x:row r="765" ht="7.900000095367432" customHeight="1"/>
    <x:row r="766" ht="7.900000095367432" customHeight="1"/>
    <x:row r="767" ht="7.900000095367432" customHeight="1"/>
    <x:row r="768" ht="7.900000095367432" customHeight="1"/>
    <x:row r="769" ht="7.900000095367432" customHeight="1"/>
    <x:row r="770" ht="7.900000095367432" customHeight="1"/>
    <x:row r="771" ht="7.900000095367432" customHeight="1"/>
    <x:row r="772" ht="7.900000095367432" customHeight="1"/>
    <x:row r="773" ht="7.900000095367432" customHeight="1"/>
    <x:row r="774" ht="7.900000095367432" customHeight="1"/>
    <x:row r="775" ht="7.900000095367432" customHeight="1"/>
    <x:row r="776" ht="7.900000095367432" customHeight="1"/>
    <x:row r="777" ht="7.900000095367432" customHeight="1"/>
    <x:row r="778" ht="7.900000095367432" customHeight="1"/>
    <x:row r="779" ht="7.900000095367432" customHeight="1"/>
    <x:row r="780" ht="7.900000095367432" customHeight="1"/>
    <x:row r="781" ht="7.900000095367432" customHeight="1"/>
    <x:row r="782" ht="7.900000095367432" customHeight="1"/>
    <x:row r="783" ht="7.900000095367432" customHeight="1"/>
    <x:row r="784" ht="7.900000095367432" customHeight="1"/>
    <x:row r="785" ht="7.900000095367432" customHeight="1"/>
  </x:sheetData>
  <x:mergeCells>
    <x:mergeCell ref="J4:J5"/>
    <x:mergeCell ref="K4:K5"/>
    <x:mergeCell ref="M4:M5"/>
    <x:mergeCell ref="D6:E6"/>
    <x:mergeCell ref="F6:G6"/>
    <x:mergeCell ref="D4:E5"/>
    <x:mergeCell ref="F4:G5"/>
    <x:mergeCell ref="L4:L5"/>
    <x:mergeCell ref="B1:G1"/>
    <x:mergeCell ref="B2:G2"/>
    <x:mergeCell ref="C7:C30"/>
    <x:mergeCell ref="H4:H5"/>
    <x:mergeCell ref="I4:I5"/>
    <x:mergeCell ref="B4:B5"/>
    <x:mergeCell ref="C4:C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theme="5"/>
  </x:sheetPr>
  <x:sheetFormatPr defaultRowHeight="15"/>
  <x:cols>
    <x:col min="1" max="1" width="5.46484375" style="417" customWidth="1"/>
    <x:col min="2" max="2" width="23.1328125" style="415" customWidth="1"/>
    <x:col min="3" max="3" width="5" style="417" customWidth="1"/>
    <x:col min="4" max="4" width="46.19921875" style="415" customWidth="1"/>
    <x:col min="5" max="5" width="15.1328125" style="541" customWidth="1"/>
    <x:col min="6" max="6" width="9.9296875" style="419" customWidth="1"/>
    <x:col min="7" max="7" width="10.86328125" style="417" customWidth="1"/>
    <x:col min="8" max="8" width="16.59765625" style="417" customWidth="1"/>
    <x:col min="9" max="9" width="32" style="416" customWidth="1"/>
    <x:col min="10" max="10" width="9.06640625" style="416" customWidth="1"/>
    <x:col min="11" max="11" width="13.73046875" style="416" customWidth="1"/>
    <x:col min="12" max="12" width="9.59765625" style="416" customWidth="1"/>
    <x:col min="13" max="13" width="16.796875" style="416" customWidth="1"/>
    <x:col min="14" max="17" width="9.06640625" style="417" customWidth="0"/>
    <x:col min="18" max="18" width="35.06640625" style="415" customWidth="1"/>
    <x:col min="19" max="16384" width="9.06640625" style="416" customWidth="0"/>
  </x:cols>
  <x:sheetData>
    <x:row r="1">
      <x:c r="A1" s="775" t="s">
        <x:v>427</x:v>
      </x:c>
      <x:c r="B1" s="775"/>
      <x:c r="C1" s="775"/>
      <x:c r="D1" s="775"/>
      <x:c r="E1" s="775"/>
      <x:c r="F1" s="775"/>
      <x:c r="G1" s="775"/>
      <x:c r="H1" s="775"/>
      <x:c r="I1" s="775"/>
      <x:c r="J1" s="775"/>
      <x:c r="K1" s="775"/>
      <x:c r="L1" s="775"/>
      <x:c r="M1" s="775"/>
      <x:c r="N1" s="414"/>
      <x:c r="O1" s="414"/>
      <x:c r="P1" s="414"/>
      <x:c r="Q1" s="414"/>
    </x:row>
    <x:row r="2">
      <x:c r="A2" s="775" t="s">
        <x:v>46</x:v>
      </x:c>
      <x:c r="B2" s="775"/>
      <x:c r="C2" s="775"/>
      <x:c r="D2" s="775"/>
      <x:c r="E2" s="775"/>
      <x:c r="F2" s="775"/>
      <x:c r="G2" s="775"/>
      <x:c r="H2" s="775"/>
      <x:c r="I2" s="775"/>
      <x:c r="J2" s="775"/>
      <x:c r="K2" s="775"/>
      <x:c r="L2" s="775"/>
      <x:c r="M2" s="775"/>
      <x:c r="N2" s="414"/>
      <x:c r="O2" s="414"/>
      <x:c r="P2" s="414"/>
      <x:c r="Q2" s="414"/>
    </x:row>
    <x:row r="3">
      <x:c r="E3" s="418"/>
    </x:row>
    <x:row r="4" s="421" customFormat="1" ht="13.899999618530273" customHeight="1">
      <x:c r="A4" s="776" t="s">
        <x:v>3</x:v>
      </x:c>
      <x:c r="B4" s="776" t="s">
        <x:v>428</x:v>
      </x:c>
      <x:c r="C4" s="776" t="s">
        <x:v>429</x:v>
      </x:c>
      <x:c r="D4" s="776"/>
      <x:c r="E4" s="777" t="s">
        <x:v>430</x:v>
      </x:c>
      <x:c r="F4" s="777" t="s">
        <x:v>431</x:v>
      </x:c>
      <x:c r="G4" s="777" t="s">
        <x:v>348</x:v>
      </x:c>
      <x:c r="H4" s="777" t="s">
        <x:v>432</x:v>
      </x:c>
      <x:c r="I4" s="777" t="s">
        <x:v>433</x:v>
      </x:c>
      <x:c r="J4" s="777" t="s">
        <x:v>434</x:v>
      </x:c>
      <x:c r="K4" s="777"/>
      <x:c r="L4" s="778" t="s">
        <x:v>435</x:v>
      </x:c>
      <x:c r="M4" s="778"/>
      <x:c r="N4" s="778" t="s">
        <x:v>436</x:v>
      </x:c>
      <x:c r="O4" s="778"/>
      <x:c r="P4" s="778"/>
      <x:c r="Q4" s="778"/>
      <x:c r="R4" s="779" t="s">
        <x:v>437</x:v>
      </x:c>
    </x:row>
    <x:row r="5" s="421" customFormat="1" ht="13.899999618530273" customHeight="1">
      <x:c r="A5" s="776"/>
      <x:c r="B5" s="776"/>
      <x:c r="C5" s="776"/>
      <x:c r="D5" s="776"/>
      <x:c r="E5" s="777"/>
      <x:c r="F5" s="777"/>
      <x:c r="G5" s="777"/>
      <x:c r="H5" s="777"/>
      <x:c r="I5" s="777"/>
      <x:c r="J5" s="777"/>
      <x:c r="K5" s="777"/>
      <x:c r="L5" s="778"/>
      <x:c r="M5" s="778"/>
      <x:c r="N5" s="420" t="s">
        <x:v>438</x:v>
      </x:c>
      <x:c r="O5" s="420" t="s">
        <x:v>439</x:v>
      </x:c>
      <x:c r="P5" s="420" t="s">
        <x:v>440</x:v>
      </x:c>
      <x:c r="Q5" s="420" t="s">
        <x:v>441</x:v>
      </x:c>
      <x:c r="R5" s="779"/>
    </x:row>
    <x:row r="6" s="426" customFormat="1" ht="5.099999904632568" customHeight="1">
      <x:c r="A6" s="422">
        <x:v>1</x:v>
      </x:c>
      <x:c r="B6" s="423">
        <x:v>2</x:v>
      </x:c>
      <x:c r="C6" s="780">
        <x:v>3</x:v>
      </x:c>
      <x:c r="D6" s="780"/>
      <x:c r="E6" s="424"/>
      <x:c r="F6" s="422">
        <x:v>4</x:v>
      </x:c>
      <x:c r="G6" s="422">
        <x:v>5</x:v>
      </x:c>
      <x:c r="H6" s="422">
        <x:v>6</x:v>
      </x:c>
      <x:c r="I6" s="422">
        <x:v>7</x:v>
      </x:c>
      <x:c r="J6" s="780">
        <x:v>8</x:v>
      </x:c>
      <x:c r="K6" s="780"/>
      <x:c r="L6" s="780">
        <x:v>9</x:v>
      </x:c>
      <x:c r="M6" s="780"/>
      <x:c r="N6" s="422">
        <x:v>10</x:v>
      </x:c>
      <x:c r="O6" s="422">
        <x:v>11</x:v>
      </x:c>
      <x:c r="P6" s="422">
        <x:v>12</x:v>
      </x:c>
      <x:c r="Q6" s="422">
        <x:v>13</x:v>
      </x:c>
      <x:c r="R6" s="425">
        <x:v>14</x:v>
      </x:c>
    </x:row>
    <x:row r="7" s="436" customFormat="1" ht="30">
      <x:c r="A7" s="427">
        <x:v>1</x:v>
      </x:c>
      <x:c r="B7" s="428" t="s">
        <x:v>125</x:v>
      </x:c>
      <x:c r="C7" s="427">
        <x:v>1</x:v>
      </x:c>
      <x:c r="D7" s="428" t="s">
        <x:v>442</x:v>
      </x:c>
      <x:c r="E7" s="429" t="s">
        <x:v>443</x:v>
      </x:c>
      <x:c r="F7" s="430" t="s">
        <x:v>87</x:v>
      </x:c>
      <x:c r="G7" s="427" t="s">
        <x:v>444</x:v>
      </x:c>
      <x:c r="H7" s="431" t="s">
        <x:v>445</x:v>
      </x:c>
      <x:c r="I7" s="432" t="s">
        <x:v>446</x:v>
      </x:c>
      <x:c r="J7" s="432">
        <x:v>1</x:v>
      </x:c>
      <x:c r="K7" s="433" t="s">
        <x:v>447</x:v>
      </x:c>
      <x:c r="L7" s="432"/>
      <x:c r="M7" s="434" t="s">
        <x:v>447</x:v>
      </x:c>
      <x:c r="N7" s="431"/>
      <x:c r="O7" s="431"/>
      <x:c r="P7" s="431"/>
      <x:c r="Q7" s="431"/>
      <x:c r="R7" s="435"/>
    </x:row>
    <x:row r="8" s="436" customFormat="1">
      <x:c r="A8" s="431"/>
      <x:c r="B8" s="435"/>
      <x:c r="C8" s="431"/>
      <x:c r="D8" s="435"/>
      <x:c r="E8" s="429"/>
      <x:c r="F8" s="431"/>
      <x:c r="G8" s="431"/>
      <x:c r="H8" s="431"/>
      <x:c r="I8" s="437"/>
      <x:c r="J8" s="431"/>
      <x:c r="K8" s="438"/>
      <x:c r="L8" s="431"/>
      <x:c r="M8" s="437"/>
      <x:c r="N8" s="431"/>
      <x:c r="O8" s="431"/>
      <x:c r="P8" s="431"/>
      <x:c r="Q8" s="431"/>
      <x:c r="R8" s="435"/>
    </x:row>
    <x:row r="9" s="436" customFormat="1" ht="30">
      <x:c r="A9" s="431">
        <x:v>2</x:v>
      </x:c>
      <x:c r="B9" s="435" t="s">
        <x:v>448</x:v>
      </x:c>
      <x:c r="C9" s="431">
        <x:v>1</x:v>
      </x:c>
      <x:c r="D9" s="435" t="s">
        <x:v>449</x:v>
      </x:c>
      <x:c r="E9" s="429" t="s">
        <x:v>443</x:v>
      </x:c>
      <x:c r="F9" s="431" t="s">
        <x:v>87</x:v>
      </x:c>
      <x:c r="G9" s="431" t="s">
        <x:v>444</x:v>
      </x:c>
      <x:c r="H9" s="431" t="s">
        <x:v>445</x:v>
      </x:c>
      <x:c r="I9" s="432" t="s">
        <x:v>450</x:v>
      </x:c>
      <x:c r="J9" s="431">
        <x:v>1</x:v>
      </x:c>
      <x:c r="K9" s="439" t="s">
        <x:v>447</x:v>
      </x:c>
      <x:c r="L9" s="431"/>
      <x:c r="M9" s="434" t="s">
        <x:v>447</x:v>
      </x:c>
      <x:c r="N9" s="431"/>
      <x:c r="O9" s="431"/>
      <x:c r="P9" s="431" t="s">
        <x:v>451</x:v>
      </x:c>
      <x:c r="Q9" s="431"/>
      <x:c r="R9" s="435"/>
    </x:row>
    <x:row r="10" s="436" customFormat="1" ht="30">
      <x:c r="A10" s="431"/>
      <x:c r="B10" s="435"/>
      <x:c r="C10" s="431">
        <x:v>2</x:v>
      </x:c>
      <x:c r="D10" s="435" t="s">
        <x:v>452</x:v>
      </x:c>
      <x:c r="E10" s="429" t="s">
        <x:v>443</x:v>
      </x:c>
      <x:c r="F10" s="431" t="s">
        <x:v>80</x:v>
      </x:c>
      <x:c r="G10" s="431" t="s">
        <x:v>444</x:v>
      </x:c>
      <x:c r="H10" s="431" t="s">
        <x:v>445</x:v>
      </x:c>
      <x:c r="I10" s="432" t="s">
        <x:v>450</x:v>
      </x:c>
      <x:c r="J10" s="431">
        <x:v>1</x:v>
      </x:c>
      <x:c r="K10" s="439" t="s">
        <x:v>447</x:v>
      </x:c>
      <x:c r="L10" s="431"/>
      <x:c r="M10" s="434" t="s">
        <x:v>447</x:v>
      </x:c>
      <x:c r="N10" s="431" t="s">
        <x:v>453</x:v>
      </x:c>
      <x:c r="O10" s="431"/>
      <x:c r="P10" s="431"/>
      <x:c r="Q10" s="431"/>
      <x:c r="R10" s="435" t="s">
        <x:v>454</x:v>
      </x:c>
    </x:row>
    <x:row r="11" s="436" customFormat="1" ht="30">
      <x:c r="A11" s="431"/>
      <x:c r="B11" s="435"/>
      <x:c r="C11" s="431">
        <x:v>3</x:v>
      </x:c>
      <x:c r="D11" s="435" t="s">
        <x:v>455</x:v>
      </x:c>
      <x:c r="E11" s="429" t="s">
        <x:v>443</x:v>
      </x:c>
      <x:c r="F11" s="431" t="s">
        <x:v>75</x:v>
      </x:c>
      <x:c r="G11" s="431" t="s">
        <x:v>444</x:v>
      </x:c>
      <x:c r="H11" s="431" t="s">
        <x:v>445</x:v>
      </x:c>
      <x:c r="I11" s="432" t="s">
        <x:v>450</x:v>
      </x:c>
      <x:c r="J11" s="431">
        <x:v>1</x:v>
      </x:c>
      <x:c r="K11" s="439" t="s">
        <x:v>447</x:v>
      </x:c>
      <x:c r="L11" s="431"/>
      <x:c r="M11" s="434" t="s">
        <x:v>447</x:v>
      </x:c>
      <x:c r="N11" s="431"/>
      <x:c r="O11" s="431"/>
      <x:c r="P11" s="431"/>
      <x:c r="Q11" s="431"/>
      <x:c r="R11" s="435" t="s">
        <x:v>454</x:v>
      </x:c>
    </x:row>
    <x:row r="12" s="436" customFormat="1">
      <x:c r="A12" s="431"/>
      <x:c r="B12" s="435"/>
      <x:c r="C12" s="431"/>
      <x:c r="D12" s="435"/>
      <x:c r="E12" s="440"/>
      <x:c r="F12" s="431"/>
      <x:c r="G12" s="431"/>
      <x:c r="H12" s="431"/>
      <x:c r="I12" s="432"/>
      <x:c r="J12" s="431"/>
      <x:c r="K12" s="438"/>
      <x:c r="L12" s="431"/>
      <x:c r="M12" s="437"/>
      <x:c r="N12" s="431"/>
      <x:c r="O12" s="431"/>
      <x:c r="P12" s="431"/>
      <x:c r="Q12" s="431"/>
      <x:c r="R12" s="435"/>
    </x:row>
    <x:row r="13" s="436" customFormat="1" ht="30">
      <x:c r="A13" s="431">
        <x:v>3</x:v>
      </x:c>
      <x:c r="B13" s="435" t="s">
        <x:v>129</x:v>
      </x:c>
      <x:c r="C13" s="431">
        <x:v>1</x:v>
      </x:c>
      <x:c r="D13" s="441" t="s">
        <x:v>456</x:v>
      </x:c>
      <x:c r="E13" s="429" t="s">
        <x:v>443</x:v>
      </x:c>
      <x:c r="F13" s="431" t="s">
        <x:v>87</x:v>
      </x:c>
      <x:c r="G13" s="431" t="s">
        <x:v>444</x:v>
      </x:c>
      <x:c r="H13" s="431"/>
      <x:c r="I13" s="432" t="s">
        <x:v>457</x:v>
      </x:c>
      <x:c r="J13" s="431">
        <x:v>1</x:v>
      </x:c>
      <x:c r="K13" s="439" t="s">
        <x:v>447</x:v>
      </x:c>
      <x:c r="L13" s="431"/>
      <x:c r="M13" s="434" t="s">
        <x:v>447</x:v>
      </x:c>
      <x:c r="N13" s="431"/>
      <x:c r="O13" s="431"/>
      <x:c r="P13" s="431"/>
      <x:c r="Q13" s="431"/>
      <x:c r="R13" s="435" t="s">
        <x:v>454</x:v>
      </x:c>
    </x:row>
    <x:row r="14" s="436" customFormat="1" ht="30">
      <x:c r="A14" s="431"/>
      <x:c r="B14" s="435"/>
      <x:c r="C14" s="431">
        <x:v>2</x:v>
      </x:c>
      <x:c r="D14" s="441" t="s">
        <x:v>458</x:v>
      </x:c>
      <x:c r="E14" s="429" t="s">
        <x:v>443</x:v>
      </x:c>
      <x:c r="F14" s="431" t="s">
        <x:v>80</x:v>
      </x:c>
      <x:c r="G14" s="431" t="s">
        <x:v>444</x:v>
      </x:c>
      <x:c r="H14" s="431"/>
      <x:c r="I14" s="432" t="s">
        <x:v>457</x:v>
      </x:c>
      <x:c r="J14" s="431">
        <x:v>1</x:v>
      </x:c>
      <x:c r="K14" s="439" t="s">
        <x:v>447</x:v>
      </x:c>
      <x:c r="L14" s="431"/>
      <x:c r="M14" s="434" t="s">
        <x:v>447</x:v>
      </x:c>
      <x:c r="N14" s="431"/>
      <x:c r="O14" s="431"/>
      <x:c r="P14" s="431"/>
      <x:c r="Q14" s="431"/>
      <x:c r="R14" s="435" t="s">
        <x:v>454</x:v>
      </x:c>
    </x:row>
    <x:row r="15" s="436" customFormat="1" ht="30">
      <x:c r="A15" s="431"/>
      <x:c r="B15" s="435"/>
      <x:c r="C15" s="431">
        <x:v>3</x:v>
      </x:c>
      <x:c r="D15" s="441" t="s">
        <x:v>459</x:v>
      </x:c>
      <x:c r="E15" s="429" t="s">
        <x:v>443</x:v>
      </x:c>
      <x:c r="F15" s="431" t="s">
        <x:v>80</x:v>
      </x:c>
      <x:c r="G15" s="431" t="s">
        <x:v>444</x:v>
      </x:c>
      <x:c r="H15" s="431"/>
      <x:c r="I15" s="432" t="s">
        <x:v>457</x:v>
      </x:c>
      <x:c r="J15" s="431">
        <x:v>1</x:v>
      </x:c>
      <x:c r="K15" s="439" t="s">
        <x:v>447</x:v>
      </x:c>
      <x:c r="L15" s="431"/>
      <x:c r="M15" s="434" t="s">
        <x:v>447</x:v>
      </x:c>
      <x:c r="N15" s="431"/>
      <x:c r="O15" s="431"/>
      <x:c r="P15" s="431"/>
      <x:c r="Q15" s="431"/>
      <x:c r="R15" s="435" t="s">
        <x:v>454</x:v>
      </x:c>
    </x:row>
    <x:row r="16" s="436" customFormat="1" ht="30">
      <x:c r="A16" s="431"/>
      <x:c r="B16" s="435"/>
      <x:c r="C16" s="431">
        <x:v>4</x:v>
      </x:c>
      <x:c r="D16" s="441" t="s">
        <x:v>460</x:v>
      </x:c>
      <x:c r="E16" s="429" t="s">
        <x:v>443</x:v>
      </x:c>
      <x:c r="F16" s="431" t="s">
        <x:v>75</x:v>
      </x:c>
      <x:c r="G16" s="431" t="s">
        <x:v>444</x:v>
      </x:c>
      <x:c r="H16" s="431"/>
      <x:c r="I16" s="432" t="s">
        <x:v>457</x:v>
      </x:c>
      <x:c r="J16" s="431">
        <x:v>1</x:v>
      </x:c>
      <x:c r="K16" s="439" t="s">
        <x:v>447</x:v>
      </x:c>
      <x:c r="L16" s="431"/>
      <x:c r="M16" s="434" t="s">
        <x:v>447</x:v>
      </x:c>
      <x:c r="N16" s="431"/>
      <x:c r="O16" s="431"/>
      <x:c r="P16" s="431"/>
      <x:c r="Q16" s="431"/>
      <x:c r="R16" s="435" t="s">
        <x:v>454</x:v>
      </x:c>
    </x:row>
    <x:row r="17" s="436" customFormat="1">
      <x:c r="A17" s="431"/>
      <x:c r="B17" s="435"/>
      <x:c r="C17" s="431"/>
      <x:c r="D17" s="442"/>
      <x:c r="E17" s="429"/>
      <x:c r="F17" s="431"/>
      <x:c r="G17" s="431"/>
      <x:c r="H17" s="431"/>
      <x:c r="I17" s="432"/>
      <x:c r="J17" s="431"/>
      <x:c r="K17" s="438"/>
      <x:c r="L17" s="431"/>
      <x:c r="M17" s="437"/>
      <x:c r="N17" s="431"/>
      <x:c r="O17" s="431"/>
      <x:c r="P17" s="431"/>
      <x:c r="Q17" s="431"/>
      <x:c r="R17" s="435"/>
    </x:row>
    <x:row r="18" s="436" customFormat="1" ht="30">
      <x:c r="A18" s="431">
        <x:v>4</x:v>
      </x:c>
      <x:c r="B18" s="435" t="s">
        <x:v>461</x:v>
      </x:c>
      <x:c r="C18" s="431">
        <x:v>1</x:v>
      </x:c>
      <x:c r="D18" s="441" t="s">
        <x:v>462</x:v>
      </x:c>
      <x:c r="E18" s="429" t="s">
        <x:v>443</x:v>
      </x:c>
      <x:c r="F18" s="431" t="s">
        <x:v>75</x:v>
      </x:c>
      <x:c r="G18" s="431" t="s">
        <x:v>444</x:v>
      </x:c>
      <x:c r="H18" s="431" t="s">
        <x:v>463</x:v>
      </x:c>
      <x:c r="I18" s="432" t="s">
        <x:v>464</x:v>
      </x:c>
      <x:c r="J18" s="431">
        <x:v>1</x:v>
      </x:c>
      <x:c r="K18" s="439" t="s">
        <x:v>447</x:v>
      </x:c>
      <x:c r="L18" s="431"/>
      <x:c r="M18" s="434" t="s">
        <x:v>447</x:v>
      </x:c>
      <x:c r="N18" s="431"/>
      <x:c r="O18" s="431"/>
      <x:c r="P18" s="431" t="s">
        <x:v>451</x:v>
      </x:c>
      <x:c r="Q18" s="431"/>
      <x:c r="R18" s="435" t="s">
        <x:v>454</x:v>
      </x:c>
    </x:row>
    <x:row r="19" s="450" customFormat="1" ht="21.200000762939453" customHeight="1">
      <x:c r="A19" s="443"/>
      <x:c r="B19" s="444"/>
      <x:c r="C19" s="443">
        <x:v>2</x:v>
      </x:c>
      <x:c r="D19" s="445" t="s">
        <x:v>465</x:v>
      </x:c>
      <x:c r="E19" s="446" t="s">
        <x:v>466</x:v>
      </x:c>
      <x:c r="F19" s="443" t="s">
        <x:v>75</x:v>
      </x:c>
      <x:c r="G19" s="443" t="s">
        <x:v>444</x:v>
      </x:c>
      <x:c r="H19" s="447" t="s">
        <x:v>467</x:v>
      </x:c>
      <x:c r="I19" s="447" t="s">
        <x:v>464</x:v>
      </x:c>
      <x:c r="J19" s="447">
        <x:v>46</x:v>
      </x:c>
      <x:c r="K19" s="448" t="s">
        <x:v>447</x:v>
      </x:c>
      <x:c r="L19" s="447"/>
      <x:c r="M19" s="449" t="s">
        <x:v>447</x:v>
      </x:c>
      <x:c r="N19" s="443"/>
      <x:c r="O19" s="443"/>
      <x:c r="P19" s="443"/>
      <x:c r="Q19" s="443"/>
      <x:c r="R19" s="444" t="s">
        <x:v>468</x:v>
      </x:c>
    </x:row>
    <x:row r="20" s="436" customFormat="1" ht="30">
      <x:c r="A20" s="431"/>
      <x:c r="B20" s="435"/>
      <x:c r="C20" s="431">
        <x:v>3</x:v>
      </x:c>
      <x:c r="D20" s="441" t="s">
        <x:v>469</x:v>
      </x:c>
      <x:c r="E20" s="429" t="s">
        <x:v>443</x:v>
      </x:c>
      <x:c r="F20" s="431" t="s">
        <x:v>75</x:v>
      </x:c>
      <x:c r="G20" s="431" t="s">
        <x:v>444</x:v>
      </x:c>
      <x:c r="H20" s="431" t="s">
        <x:v>463</x:v>
      </x:c>
      <x:c r="I20" s="432" t="s">
        <x:v>464</x:v>
      </x:c>
      <x:c r="J20" s="431">
        <x:v>1</x:v>
      </x:c>
      <x:c r="K20" s="439" t="s">
        <x:v>447</x:v>
      </x:c>
      <x:c r="L20" s="431"/>
      <x:c r="M20" s="434" t="s">
        <x:v>447</x:v>
      </x:c>
      <x:c r="N20" s="431"/>
      <x:c r="O20" s="431"/>
      <x:c r="P20" s="431" t="s">
        <x:v>451</x:v>
      </x:c>
      <x:c r="Q20" s="431"/>
      <x:c r="R20" s="435" t="s">
        <x:v>454</x:v>
      </x:c>
    </x:row>
    <x:row r="21" s="436" customFormat="1" ht="30">
      <x:c r="A21" s="431"/>
      <x:c r="B21" s="435"/>
      <x:c r="C21" s="431">
        <x:v>4</x:v>
      </x:c>
      <x:c r="D21" s="441" t="s">
        <x:v>470</x:v>
      </x:c>
      <x:c r="E21" s="429" t="s">
        <x:v>443</x:v>
      </x:c>
      <x:c r="F21" s="431" t="s">
        <x:v>75</x:v>
      </x:c>
      <x:c r="G21" s="431" t="s">
        <x:v>444</x:v>
      </x:c>
      <x:c r="H21" s="431" t="s">
        <x:v>463</x:v>
      </x:c>
      <x:c r="I21" s="432" t="s">
        <x:v>464</x:v>
      </x:c>
      <x:c r="J21" s="432">
        <x:v>1</x:v>
      </x:c>
      <x:c r="K21" s="439" t="s">
        <x:v>447</x:v>
      </x:c>
      <x:c r="L21" s="432"/>
      <x:c r="M21" s="434" t="s">
        <x:v>447</x:v>
      </x:c>
      <x:c r="N21" s="431"/>
      <x:c r="O21" s="431"/>
      <x:c r="P21" s="431"/>
      <x:c r="Q21" s="431"/>
      <x:c r="R21" s="435" t="s">
        <x:v>454</x:v>
      </x:c>
    </x:row>
    <x:row r="22" s="436" customFormat="1" ht="30">
      <x:c r="A22" s="431"/>
      <x:c r="B22" s="435"/>
      <x:c r="C22" s="431">
        <x:v>5</x:v>
      </x:c>
      <x:c r="D22" s="441" t="s">
        <x:v>471</x:v>
      </x:c>
      <x:c r="E22" s="429" t="s">
        <x:v>443</x:v>
      </x:c>
      <x:c r="F22" s="431" t="s">
        <x:v>75</x:v>
      </x:c>
      <x:c r="G22" s="431" t="s">
        <x:v>444</x:v>
      </x:c>
      <x:c r="H22" s="432" t="s">
        <x:v>467</x:v>
      </x:c>
      <x:c r="I22" s="432" t="s">
        <x:v>464</x:v>
      </x:c>
      <x:c r="J22" s="432">
        <x:v>1</x:v>
      </x:c>
      <x:c r="K22" s="439" t="s">
        <x:v>447</x:v>
      </x:c>
      <x:c r="L22" s="432"/>
      <x:c r="M22" s="434" t="s">
        <x:v>447</x:v>
      </x:c>
      <x:c r="N22" s="431"/>
      <x:c r="O22" s="431"/>
      <x:c r="P22" s="431"/>
      <x:c r="Q22" s="431"/>
      <x:c r="R22" s="435" t="s">
        <x:v>454</x:v>
      </x:c>
    </x:row>
    <x:row r="23" s="436" customFormat="1">
      <x:c r="A23" s="431"/>
      <x:c r="B23" s="435"/>
      <x:c r="C23" s="431"/>
      <x:c r="D23" s="435"/>
      <x:c r="E23" s="429"/>
      <x:c r="F23" s="431"/>
      <x:c r="G23" s="431"/>
      <x:c r="H23" s="431"/>
      <x:c r="I23" s="432"/>
      <x:c r="J23" s="431"/>
      <x:c r="K23" s="438"/>
      <x:c r="L23" s="431"/>
      <x:c r="M23" s="437"/>
      <x:c r="N23" s="431"/>
      <x:c r="O23" s="431"/>
      <x:c r="P23" s="431"/>
      <x:c r="Q23" s="431"/>
      <x:c r="R23" s="435"/>
    </x:row>
    <x:row r="24" s="450" customFormat="1" ht="15.199999809265137" customHeight="1">
      <x:c r="A24" s="443">
        <x:v>5</x:v>
      </x:c>
      <x:c r="B24" s="444" t="s">
        <x:v>472</x:v>
      </x:c>
      <x:c r="C24" s="443">
        <x:v>1</x:v>
      </x:c>
      <x:c r="D24" s="451" t="s">
        <x:v>473</x:v>
      </x:c>
      <x:c r="E24" s="446" t="s">
        <x:v>466</x:v>
      </x:c>
      <x:c r="F24" s="447" t="s">
        <x:v>87</x:v>
      </x:c>
      <x:c r="G24" s="443" t="s">
        <x:v>444</x:v>
      </x:c>
      <x:c r="H24" s="443" t="s">
        <x:v>474</x:v>
      </x:c>
      <x:c r="I24" s="447" t="s">
        <x:v>213</x:v>
      </x:c>
      <x:c r="J24" s="443">
        <x:v>1</x:v>
      </x:c>
      <x:c r="K24" s="448" t="s">
        <x:v>447</x:v>
      </x:c>
      <x:c r="L24" s="443">
        <x:v>1</x:v>
      </x:c>
      <x:c r="M24" s="449" t="s">
        <x:v>447</x:v>
      </x:c>
      <x:c r="N24" s="443" t="s">
        <x:v>475</x:v>
      </x:c>
      <x:c r="O24" s="443"/>
      <x:c r="P24" s="443"/>
      <x:c r="Q24" s="443"/>
      <x:c r="R24" s="444" t="s">
        <x:v>468</x:v>
      </x:c>
    </x:row>
    <x:row r="25" s="436" customFormat="1" ht="30">
      <x:c r="A25" s="431"/>
      <x:c r="B25" s="435"/>
      <x:c r="C25" s="431">
        <x:v>2</x:v>
      </x:c>
      <x:c r="D25" s="452" t="s">
        <x:v>476</x:v>
      </x:c>
      <x:c r="E25" s="429" t="s">
        <x:v>443</x:v>
      </x:c>
      <x:c r="F25" s="432" t="s">
        <x:v>87</x:v>
      </x:c>
      <x:c r="G25" s="431" t="s">
        <x:v>444</x:v>
      </x:c>
      <x:c r="H25" s="431" t="s">
        <x:v>474</x:v>
      </x:c>
      <x:c r="I25" s="432" t="s">
        <x:v>213</x:v>
      </x:c>
      <x:c r="J25" s="431">
        <x:v>28</x:v>
      </x:c>
      <x:c r="K25" s="439" t="s">
        <x:v>447</x:v>
      </x:c>
      <x:c r="L25" s="431"/>
      <x:c r="M25" s="434" t="s">
        <x:v>447</x:v>
      </x:c>
      <x:c r="N25" s="431"/>
      <x:c r="O25" s="431"/>
      <x:c r="P25" s="431" t="s">
        <x:v>451</x:v>
      </x:c>
      <x:c r="Q25" s="431"/>
      <x:c r="R25" s="435" t="s">
        <x:v>454</x:v>
      </x:c>
    </x:row>
    <x:row r="26" s="450" customFormat="1">
      <x:c r="A26" s="443"/>
      <x:c r="B26" s="444"/>
      <x:c r="C26" s="443">
        <x:v>3</x:v>
      </x:c>
      <x:c r="D26" s="451" t="s">
        <x:v>477</x:v>
      </x:c>
      <x:c r="E26" s="446" t="s">
        <x:v>466</x:v>
      </x:c>
      <x:c r="F26" s="447" t="s">
        <x:v>87</x:v>
      </x:c>
      <x:c r="G26" s="443" t="s">
        <x:v>444</x:v>
      </x:c>
      <x:c r="H26" s="443" t="s">
        <x:v>474</x:v>
      </x:c>
      <x:c r="I26" s="447" t="s">
        <x:v>213</x:v>
      </x:c>
      <x:c r="J26" s="443">
        <x:v>1</x:v>
      </x:c>
      <x:c r="K26" s="448" t="s">
        <x:v>447</x:v>
      </x:c>
      <x:c r="L26" s="443">
        <x:v>1</x:v>
      </x:c>
      <x:c r="M26" s="449" t="s">
        <x:v>447</x:v>
      </x:c>
      <x:c r="N26" s="443"/>
      <x:c r="O26" s="443" t="s">
        <x:v>478</x:v>
      </x:c>
      <x:c r="P26" s="443"/>
      <x:c r="Q26" s="443"/>
      <x:c r="R26" s="444" t="s">
        <x:v>468</x:v>
      </x:c>
    </x:row>
    <x:row r="27" s="436" customFormat="1" ht="30">
      <x:c r="A27" s="431"/>
      <x:c r="B27" s="435"/>
      <x:c r="C27" s="431">
        <x:v>4</x:v>
      </x:c>
      <x:c r="D27" s="452" t="s">
        <x:v>479</x:v>
      </x:c>
      <x:c r="E27" s="429" t="s">
        <x:v>443</x:v>
      </x:c>
      <x:c r="F27" s="432" t="s">
        <x:v>87</x:v>
      </x:c>
      <x:c r="G27" s="431" t="s">
        <x:v>444</x:v>
      </x:c>
      <x:c r="H27" s="431" t="s">
        <x:v>474</x:v>
      </x:c>
      <x:c r="I27" s="432" t="s">
        <x:v>213</x:v>
      </x:c>
      <x:c r="J27" s="431">
        <x:v>1</x:v>
      </x:c>
      <x:c r="K27" s="439" t="s">
        <x:v>447</x:v>
      </x:c>
      <x:c r="L27" s="431"/>
      <x:c r="M27" s="434" t="s">
        <x:v>447</x:v>
      </x:c>
      <x:c r="N27" s="431"/>
      <x:c r="O27" s="431"/>
      <x:c r="P27" s="431"/>
      <x:c r="Q27" s="431"/>
      <x:c r="R27" s="435" t="s">
        <x:v>454</x:v>
      </x:c>
    </x:row>
    <x:row r="28" s="436" customFormat="1" ht="30">
      <x:c r="A28" s="431"/>
      <x:c r="B28" s="435"/>
      <x:c r="C28" s="431">
        <x:v>5</x:v>
      </x:c>
      <x:c r="D28" s="452" t="s">
        <x:v>480</x:v>
      </x:c>
      <x:c r="E28" s="429" t="s">
        <x:v>443</x:v>
      </x:c>
      <x:c r="F28" s="432" t="s">
        <x:v>87</x:v>
      </x:c>
      <x:c r="G28" s="431" t="s">
        <x:v>444</x:v>
      </x:c>
      <x:c r="H28" s="431" t="s">
        <x:v>474</x:v>
      </x:c>
      <x:c r="I28" s="432" t="s">
        <x:v>213</x:v>
      </x:c>
      <x:c r="J28" s="431">
        <x:v>1</x:v>
      </x:c>
      <x:c r="K28" s="439" t="s">
        <x:v>447</x:v>
      </x:c>
      <x:c r="L28" s="431"/>
      <x:c r="M28" s="434" t="s">
        <x:v>447</x:v>
      </x:c>
      <x:c r="N28" s="431"/>
      <x:c r="O28" s="431"/>
      <x:c r="P28" s="431"/>
      <x:c r="Q28" s="431"/>
      <x:c r="R28" s="435" t="s">
        <x:v>454</x:v>
      </x:c>
    </x:row>
    <x:row r="29" s="436" customFormat="1" ht="30">
      <x:c r="A29" s="431"/>
      <x:c r="B29" s="435"/>
      <x:c r="C29" s="431">
        <x:v>6</x:v>
      </x:c>
      <x:c r="D29" s="452" t="s">
        <x:v>481</x:v>
      </x:c>
      <x:c r="E29" s="429" t="s">
        <x:v>443</x:v>
      </x:c>
      <x:c r="F29" s="432" t="s">
        <x:v>87</x:v>
      </x:c>
      <x:c r="G29" s="431" t="s">
        <x:v>444</x:v>
      </x:c>
      <x:c r="H29" s="431" t="s">
        <x:v>474</x:v>
      </x:c>
      <x:c r="I29" s="432" t="s">
        <x:v>213</x:v>
      </x:c>
      <x:c r="J29" s="431">
        <x:v>1</x:v>
      </x:c>
      <x:c r="K29" s="439" t="s">
        <x:v>447</x:v>
      </x:c>
      <x:c r="L29" s="431"/>
      <x:c r="M29" s="434" t="s">
        <x:v>447</x:v>
      </x:c>
      <x:c r="N29" s="431"/>
      <x:c r="O29" s="431"/>
      <x:c r="P29" s="431"/>
      <x:c r="Q29" s="431"/>
      <x:c r="R29" s="435" t="s">
        <x:v>454</x:v>
      </x:c>
    </x:row>
    <x:row r="30" s="436" customFormat="1" ht="30">
      <x:c r="A30" s="431"/>
      <x:c r="B30" s="435"/>
      <x:c r="C30" s="431">
        <x:v>7</x:v>
      </x:c>
      <x:c r="D30" s="441" t="s">
        <x:v>482</x:v>
      </x:c>
      <x:c r="E30" s="429" t="s">
        <x:v>443</x:v>
      </x:c>
      <x:c r="F30" s="432" t="s">
        <x:v>87</x:v>
      </x:c>
      <x:c r="G30" s="431" t="s">
        <x:v>444</x:v>
      </x:c>
      <x:c r="H30" s="431" t="s">
        <x:v>474</x:v>
      </x:c>
      <x:c r="I30" s="432" t="s">
        <x:v>213</x:v>
      </x:c>
      <x:c r="J30" s="431">
        <x:v>1</x:v>
      </x:c>
      <x:c r="K30" s="439" t="s">
        <x:v>447</x:v>
      </x:c>
      <x:c r="L30" s="431"/>
      <x:c r="M30" s="434" t="s">
        <x:v>447</x:v>
      </x:c>
      <x:c r="N30" s="431"/>
      <x:c r="O30" s="431"/>
      <x:c r="P30" s="431"/>
      <x:c r="Q30" s="431"/>
      <x:c r="R30" s="435" t="s">
        <x:v>483</x:v>
      </x:c>
    </x:row>
    <x:row r="31" s="450" customFormat="1">
      <x:c r="A31" s="443"/>
      <x:c r="B31" s="444"/>
      <x:c r="C31" s="443">
        <x:v>8</x:v>
      </x:c>
      <x:c r="D31" s="445" t="s">
        <x:v>484</x:v>
      </x:c>
      <x:c r="E31" s="446" t="s">
        <x:v>466</x:v>
      </x:c>
      <x:c r="F31" s="447" t="s">
        <x:v>87</x:v>
      </x:c>
      <x:c r="G31" s="443" t="s">
        <x:v>444</x:v>
      </x:c>
      <x:c r="H31" s="443" t="s">
        <x:v>474</x:v>
      </x:c>
      <x:c r="I31" s="447" t="s">
        <x:v>213</x:v>
      </x:c>
      <x:c r="J31" s="443">
        <x:v>1</x:v>
      </x:c>
      <x:c r="K31" s="448" t="s">
        <x:v>447</x:v>
      </x:c>
      <x:c r="L31" s="443">
        <x:v>1</x:v>
      </x:c>
      <x:c r="M31" s="449" t="s">
        <x:v>447</x:v>
      </x:c>
      <x:c r="N31" s="443" t="s">
        <x:v>485</x:v>
      </x:c>
      <x:c r="O31" s="443"/>
      <x:c r="P31" s="443"/>
      <x:c r="Q31" s="443"/>
      <x:c r="R31" s="444" t="s">
        <x:v>486</x:v>
      </x:c>
    </x:row>
    <x:row r="32" s="460" customFormat="1" ht="30">
      <x:c r="A32" s="453"/>
      <x:c r="B32" s="454"/>
      <x:c r="C32" s="453">
        <x:v>9</x:v>
      </x:c>
      <x:c r="D32" s="455" t="s">
        <x:v>487</x:v>
      </x:c>
      <x:c r="E32" s="456" t="s">
        <x:v>466</x:v>
      </x:c>
      <x:c r="F32" s="457" t="s">
        <x:v>87</x:v>
      </x:c>
      <x:c r="G32" s="453" t="s">
        <x:v>444</x:v>
      </x:c>
      <x:c r="H32" s="453" t="s">
        <x:v>474</x:v>
      </x:c>
      <x:c r="I32" s="457" t="s">
        <x:v>213</x:v>
      </x:c>
      <x:c r="J32" s="453">
        <x:v>1</x:v>
      </x:c>
      <x:c r="K32" s="458" t="s">
        <x:v>447</x:v>
      </x:c>
      <x:c r="L32" s="453">
        <x:v>2</x:v>
      </x:c>
      <x:c r="M32" s="459" t="s">
        <x:v>447</x:v>
      </x:c>
      <x:c r="N32" s="453" t="s">
        <x:v>485</x:v>
      </x:c>
      <x:c r="O32" s="453"/>
      <x:c r="P32" s="453"/>
      <x:c r="Q32" s="453"/>
      <x:c r="R32" s="454" t="s">
        <x:v>488</x:v>
      </x:c>
    </x:row>
    <x:row r="33" s="460" customFormat="1" ht="30">
      <x:c r="A33" s="453"/>
      <x:c r="B33" s="454"/>
      <x:c r="C33" s="453">
        <x:v>10</x:v>
      </x:c>
      <x:c r="D33" s="455" t="s">
        <x:v>489</x:v>
      </x:c>
      <x:c r="E33" s="456" t="s">
        <x:v>466</x:v>
      </x:c>
      <x:c r="F33" s="457" t="s">
        <x:v>87</x:v>
      </x:c>
      <x:c r="G33" s="453"/>
      <x:c r="H33" s="453" t="s">
        <x:v>474</x:v>
      </x:c>
      <x:c r="I33" s="457" t="s">
        <x:v>213</x:v>
      </x:c>
      <x:c r="J33" s="453">
        <x:v>1</x:v>
      </x:c>
      <x:c r="K33" s="458"/>
      <x:c r="L33" s="453"/>
      <x:c r="M33" s="459"/>
      <x:c r="N33" s="453"/>
      <x:c r="O33" s="453"/>
      <x:c r="P33" s="453" t="s">
        <x:v>490</x:v>
      </x:c>
      <x:c r="Q33" s="453"/>
      <x:c r="R33" s="454" t="s">
        <x:v>491</x:v>
      </x:c>
    </x:row>
    <x:row r="34" s="436" customFormat="1" ht="30">
      <x:c r="A34" s="431"/>
      <x:c r="B34" s="435"/>
      <x:c r="C34" s="431">
        <x:v>11</x:v>
      </x:c>
      <x:c r="D34" s="452" t="s">
        <x:v>492</x:v>
      </x:c>
      <x:c r="E34" s="429" t="s">
        <x:v>443</x:v>
      </x:c>
      <x:c r="F34" s="432" t="s">
        <x:v>87</x:v>
      </x:c>
      <x:c r="G34" s="431" t="s">
        <x:v>444</x:v>
      </x:c>
      <x:c r="H34" s="431" t="s">
        <x:v>474</x:v>
      </x:c>
      <x:c r="I34" s="432" t="s">
        <x:v>213</x:v>
      </x:c>
      <x:c r="J34" s="431">
        <x:v>1</x:v>
      </x:c>
      <x:c r="K34" s="439" t="s">
        <x:v>447</x:v>
      </x:c>
      <x:c r="L34" s="431"/>
      <x:c r="M34" s="434" t="s">
        <x:v>447</x:v>
      </x:c>
      <x:c r="N34" s="431"/>
      <x:c r="O34" s="431"/>
      <x:c r="P34" s="431"/>
      <x:c r="Q34" s="431"/>
      <x:c r="R34" s="435" t="s">
        <x:v>454</x:v>
      </x:c>
    </x:row>
    <x:row r="35" s="450" customFormat="1">
      <x:c r="A35" s="443"/>
      <x:c r="B35" s="444"/>
      <x:c r="C35" s="443">
        <x:v>12</x:v>
      </x:c>
      <x:c r="D35" s="445" t="s">
        <x:v>493</x:v>
      </x:c>
      <x:c r="E35" s="446" t="s">
        <x:v>466</x:v>
      </x:c>
      <x:c r="F35" s="447" t="s">
        <x:v>87</x:v>
      </x:c>
      <x:c r="G35" s="443" t="s">
        <x:v>444</x:v>
      </x:c>
      <x:c r="H35" s="443"/>
      <x:c r="I35" s="447" t="s">
        <x:v>114</x:v>
      </x:c>
      <x:c r="J35" s="443">
        <x:v>28</x:v>
      </x:c>
      <x:c r="K35" s="448" t="s">
        <x:v>447</x:v>
      </x:c>
      <x:c r="L35" s="443"/>
      <x:c r="M35" s="449" t="s">
        <x:v>447</x:v>
      </x:c>
      <x:c r="N35" s="443"/>
      <x:c r="O35" s="443"/>
      <x:c r="P35" s="443"/>
      <x:c r="Q35" s="443"/>
      <x:c r="R35" s="444" t="s">
        <x:v>494</x:v>
      </x:c>
    </x:row>
    <x:row r="36" s="436" customFormat="1">
      <x:c r="A36" s="431"/>
      <x:c r="B36" s="435"/>
      <x:c r="C36" s="431">
        <x:v>13</x:v>
      </x:c>
      <x:c r="D36" s="441" t="s">
        <x:v>495</x:v>
      </x:c>
      <x:c r="E36" s="429" t="s">
        <x:v>443</x:v>
      </x:c>
      <x:c r="F36" s="432" t="s">
        <x:v>75</x:v>
      </x:c>
      <x:c r="G36" s="431" t="s">
        <x:v>444</x:v>
      </x:c>
      <x:c r="H36" s="431" t="s">
        <x:v>474</x:v>
      </x:c>
      <x:c r="I36" s="432" t="s">
        <x:v>114</x:v>
      </x:c>
      <x:c r="J36" s="431">
        <x:v>1</x:v>
      </x:c>
      <x:c r="K36" s="439" t="s">
        <x:v>447</x:v>
      </x:c>
      <x:c r="L36" s="431"/>
      <x:c r="M36" s="434" t="s">
        <x:v>447</x:v>
      </x:c>
      <x:c r="N36" s="431"/>
      <x:c r="O36" s="431"/>
      <x:c r="P36" s="431" t="s">
        <x:v>496</x:v>
      </x:c>
      <x:c r="Q36" s="431" t="s">
        <x:v>497</x:v>
      </x:c>
      <x:c r="R36" s="435" t="s">
        <x:v>498</x:v>
      </x:c>
    </x:row>
    <x:row r="37" s="450" customFormat="1">
      <x:c r="A37" s="443"/>
      <x:c r="B37" s="444"/>
      <x:c r="C37" s="443">
        <x:v>14</x:v>
      </x:c>
      <x:c r="D37" s="445" t="s">
        <x:v>499</x:v>
      </x:c>
      <x:c r="E37" s="446" t="s">
        <x:v>466</x:v>
      </x:c>
      <x:c r="F37" s="447" t="s">
        <x:v>87</x:v>
      </x:c>
      <x:c r="G37" s="443" t="s">
        <x:v>444</x:v>
      </x:c>
      <x:c r="H37" s="443" t="s">
        <x:v>474</x:v>
      </x:c>
      <x:c r="I37" s="447" t="s">
        <x:v>114</x:v>
      </x:c>
      <x:c r="J37" s="443">
        <x:v>1</x:v>
      </x:c>
      <x:c r="K37" s="448" t="s">
        <x:v>447</x:v>
      </x:c>
      <x:c r="L37" s="443">
        <x:v>1</x:v>
      </x:c>
      <x:c r="M37" s="449" t="s">
        <x:v>447</x:v>
      </x:c>
      <x:c r="N37" s="443" t="s">
        <x:v>453</x:v>
      </x:c>
      <x:c r="O37" s="443" t="s">
        <x:v>500</x:v>
      </x:c>
      <x:c r="P37" s="443" t="s">
        <x:v>451</x:v>
      </x:c>
      <x:c r="Q37" s="443" t="s">
        <x:v>501</x:v>
      </x:c>
      <x:c r="R37" s="444" t="s">
        <x:v>468</x:v>
      </x:c>
    </x:row>
    <x:row r="38" s="450" customFormat="1" ht="9.600000381469727" customHeight="1">
      <x:c r="A38" s="443"/>
      <x:c r="B38" s="444"/>
      <x:c r="C38" s="783">
        <x:v>15</x:v>
      </x:c>
      <x:c r="D38" s="451" t="s">
        <x:v>502</x:v>
      </x:c>
      <x:c r="E38" s="446" t="s">
        <x:v>466</x:v>
      </x:c>
      <x:c r="F38" s="447" t="s">
        <x:v>87</x:v>
      </x:c>
      <x:c r="G38" s="443" t="s">
        <x:v>444</x:v>
      </x:c>
      <x:c r="H38" s="443" t="s">
        <x:v>474</x:v>
      </x:c>
      <x:c r="I38" s="447" t="s">
        <x:v>114</x:v>
      </x:c>
      <x:c r="J38" s="783">
        <x:v>21</x:v>
      </x:c>
      <x:c r="K38" s="783" t="s">
        <x:v>447</x:v>
      </x:c>
      <x:c r="L38" s="443"/>
      <x:c r="M38" s="449" t="s">
        <x:v>447</x:v>
      </x:c>
      <x:c r="N38" s="443"/>
      <x:c r="O38" s="443"/>
      <x:c r="P38" s="443"/>
      <x:c r="Q38" s="443"/>
      <x:c r="R38" s="444" t="s">
        <x:v>503</x:v>
      </x:c>
    </x:row>
    <x:row r="39" s="436" customFormat="1" ht="12.199999809265137" customHeight="1">
      <x:c r="A39" s="431"/>
      <x:c r="B39" s="435"/>
      <x:c r="C39" s="785"/>
      <x:c r="D39" s="452" t="s">
        <x:v>504</x:v>
      </x:c>
      <x:c r="E39" s="429" t="s">
        <x:v>505</x:v>
      </x:c>
      <x:c r="F39" s="432" t="s">
        <x:v>87</x:v>
      </x:c>
      <x:c r="G39" s="431" t="s">
        <x:v>444</x:v>
      </x:c>
      <x:c r="H39" s="431" t="s">
        <x:v>474</x:v>
      </x:c>
      <x:c r="I39" s="432" t="s">
        <x:v>114</x:v>
      </x:c>
      <x:c r="J39" s="785"/>
      <x:c r="K39" s="785"/>
      <x:c r="L39" s="431"/>
      <x:c r="M39" s="434" t="s">
        <x:v>447</x:v>
      </x:c>
      <x:c r="N39" s="431"/>
      <x:c r="O39" s="431"/>
      <x:c r="P39" s="431"/>
      <x:c r="Q39" s="431"/>
      <x:c r="R39" s="435" t="s">
        <x:v>454</x:v>
      </x:c>
    </x:row>
    <x:row r="40" s="436" customFormat="1" ht="30">
      <x:c r="A40" s="431"/>
      <x:c r="B40" s="435"/>
      <x:c r="C40" s="785"/>
      <x:c r="D40" s="452" t="s">
        <x:v>506</x:v>
      </x:c>
      <x:c r="E40" s="429" t="s">
        <x:v>443</x:v>
      </x:c>
      <x:c r="F40" s="432" t="s">
        <x:v>87</x:v>
      </x:c>
      <x:c r="G40" s="431" t="s">
        <x:v>444</x:v>
      </x:c>
      <x:c r="H40" s="431" t="s">
        <x:v>474</x:v>
      </x:c>
      <x:c r="I40" s="432" t="s">
        <x:v>114</x:v>
      </x:c>
      <x:c r="J40" s="785"/>
      <x:c r="K40" s="785"/>
      <x:c r="L40" s="431"/>
      <x:c r="M40" s="434" t="s">
        <x:v>447</x:v>
      </x:c>
      <x:c r="N40" s="431"/>
      <x:c r="O40" s="431"/>
      <x:c r="P40" s="431"/>
      <x:c r="Q40" s="431"/>
      <x:c r="R40" s="435" t="s">
        <x:v>454</x:v>
      </x:c>
    </x:row>
    <x:row r="41" s="436" customFormat="1" ht="30">
      <x:c r="A41" s="461"/>
      <x:c r="B41" s="462"/>
      <x:c r="C41" s="785"/>
      <x:c r="D41" s="452" t="s">
        <x:v>507</x:v>
      </x:c>
      <x:c r="E41" s="463" t="s">
        <x:v>443</x:v>
      </x:c>
      <x:c r="F41" s="464" t="s">
        <x:v>87</x:v>
      </x:c>
      <x:c r="G41" s="461" t="s">
        <x:v>444</x:v>
      </x:c>
      <x:c r="H41" s="461" t="s">
        <x:v>474</x:v>
      </x:c>
      <x:c r="I41" s="432" t="s">
        <x:v>114</x:v>
      </x:c>
      <x:c r="J41" s="785"/>
      <x:c r="K41" s="785"/>
      <x:c r="L41" s="461"/>
      <x:c r="M41" s="434" t="s">
        <x:v>447</x:v>
      </x:c>
      <x:c r="N41" s="431"/>
      <x:c r="O41" s="431"/>
      <x:c r="P41" s="431"/>
      <x:c r="Q41" s="431"/>
      <x:c r="R41" s="435" t="s">
        <x:v>454</x:v>
      </x:c>
    </x:row>
    <x:row r="42" s="460" customFormat="1" ht="30">
      <x:c r="A42" s="453"/>
      <x:c r="B42" s="454"/>
      <x:c r="C42" s="786">
        <x:v>16</x:v>
      </x:c>
      <x:c r="D42" s="466" t="s">
        <x:v>508</x:v>
      </x:c>
      <x:c r="E42" s="456" t="s">
        <x:v>466</x:v>
      </x:c>
      <x:c r="F42" s="457" t="s">
        <x:v>75</x:v>
      </x:c>
      <x:c r="G42" s="453" t="s">
        <x:v>444</x:v>
      </x:c>
      <x:c r="H42" s="453" t="s">
        <x:v>474</x:v>
      </x:c>
      <x:c r="I42" s="457" t="s">
        <x:v>214</x:v>
      </x:c>
      <x:c r="J42" s="781">
        <x:v>2</x:v>
      </x:c>
      <x:c r="K42" s="787" t="s">
        <x:v>447</x:v>
      </x:c>
      <x:c r="L42" s="453"/>
      <x:c r="M42" s="459" t="s">
        <x:v>509</x:v>
      </x:c>
      <x:c r="N42" s="453"/>
      <x:c r="O42" s="453" t="s">
        <x:v>478</x:v>
      </x:c>
      <x:c r="P42" s="453"/>
      <x:c r="Q42" s="453"/>
      <x:c r="R42" s="454" t="s">
        <x:v>491</x:v>
      </x:c>
    </x:row>
    <x:row r="43" s="436" customFormat="1" ht="30">
      <x:c r="A43" s="431"/>
      <x:c r="B43" s="435"/>
      <x:c r="C43" s="786"/>
      <x:c r="D43" s="452" t="s">
        <x:v>510</x:v>
      </x:c>
      <x:c r="E43" s="429" t="s">
        <x:v>443</x:v>
      </x:c>
      <x:c r="F43" s="432" t="s">
        <x:v>75</x:v>
      </x:c>
      <x:c r="G43" s="431" t="s">
        <x:v>444</x:v>
      </x:c>
      <x:c r="H43" s="431" t="s">
        <x:v>474</x:v>
      </x:c>
      <x:c r="I43" s="432" t="s">
        <x:v>214</x:v>
      </x:c>
      <x:c r="J43" s="782"/>
      <x:c r="K43" s="788"/>
      <x:c r="L43" s="431"/>
      <x:c r="M43" s="434" t="s">
        <x:v>509</x:v>
      </x:c>
      <x:c r="N43" s="431"/>
      <x:c r="O43" s="431"/>
      <x:c r="P43" s="431"/>
      <x:c r="Q43" s="431" t="s">
        <x:v>511</x:v>
      </x:c>
      <x:c r="R43" s="435" t="s">
        <x:v>454</x:v>
      </x:c>
    </x:row>
    <x:row r="44" s="460" customFormat="1" ht="22.700000762939453" customHeight="1">
      <x:c r="A44" s="467"/>
      <x:c r="B44" s="468"/>
      <x:c r="C44" s="467">
        <x:v>17</x:v>
      </x:c>
      <x:c r="D44" s="469" t="s">
        <x:v>512</x:v>
      </x:c>
      <x:c r="E44" s="470" t="s">
        <x:v>466</x:v>
      </x:c>
      <x:c r="F44" s="471" t="s">
        <x:v>75</x:v>
      </x:c>
      <x:c r="G44" s="467" t="s">
        <x:v>444</x:v>
      </x:c>
      <x:c r="H44" s="467" t="s">
        <x:v>474</x:v>
      </x:c>
      <x:c r="I44" s="471" t="s">
        <x:v>513</x:v>
      </x:c>
      <x:c r="J44" s="453">
        <x:v>5</x:v>
      </x:c>
      <x:c r="K44" s="472" t="s">
        <x:v>447</x:v>
      </x:c>
      <x:c r="L44" s="467"/>
      <x:c r="M44" s="473" t="s">
        <x:v>447</x:v>
      </x:c>
      <x:c r="N44" s="453" t="s">
        <x:v>485</x:v>
      </x:c>
      <x:c r="O44" s="453"/>
      <x:c r="P44" s="453"/>
      <x:c r="Q44" s="453"/>
      <x:c r="R44" s="454" t="s">
        <x:v>514</x:v>
      </x:c>
    </x:row>
    <x:row r="45" s="436" customFormat="1" ht="30" customHeight="1">
      <x:c r="A45" s="431"/>
      <x:c r="B45" s="435"/>
      <x:c r="C45" s="431">
        <x:v>18</x:v>
      </x:c>
      <x:c r="D45" s="441" t="s">
        <x:v>515</x:v>
      </x:c>
      <x:c r="E45" s="429" t="s">
        <x:v>443</x:v>
      </x:c>
      <x:c r="F45" s="432" t="s">
        <x:v>80</x:v>
      </x:c>
      <x:c r="G45" s="431" t="s">
        <x:v>444</x:v>
      </x:c>
      <x:c r="H45" s="431" t="s">
        <x:v>474</x:v>
      </x:c>
      <x:c r="I45" s="432" t="s">
        <x:v>516</x:v>
      </x:c>
      <x:c r="J45" s="431">
        <x:v>1</x:v>
      </x:c>
      <x:c r="K45" s="439" t="s">
        <x:v>447</x:v>
      </x:c>
      <x:c r="L45" s="431"/>
      <x:c r="M45" s="434" t="s">
        <x:v>447</x:v>
      </x:c>
      <x:c r="N45" s="431"/>
      <x:c r="O45" s="431"/>
      <x:c r="P45" s="431"/>
      <x:c r="Q45" s="431"/>
      <x:c r="R45" s="435" t="s">
        <x:v>454</x:v>
      </x:c>
    </x:row>
    <x:row r="46" s="436" customFormat="1" ht="60">
      <x:c r="A46" s="431"/>
      <x:c r="B46" s="435"/>
      <x:c r="C46" s="431">
        <x:v>19</x:v>
      </x:c>
      <x:c r="D46" s="474" t="s">
        <x:v>517</x:v>
      </x:c>
      <x:c r="E46" s="429" t="s">
        <x:v>505</x:v>
      </x:c>
      <x:c r="F46" s="432" t="s">
        <x:v>75</x:v>
      </x:c>
      <x:c r="G46" s="431" t="s">
        <x:v>444</x:v>
      </x:c>
      <x:c r="H46" s="431" t="s">
        <x:v>474</x:v>
      </x:c>
      <x:c r="I46" s="432" t="s">
        <x:v>217</x:v>
      </x:c>
      <x:c r="J46" s="431">
        <x:v>2</x:v>
      </x:c>
      <x:c r="K46" s="439" t="s">
        <x:v>447</x:v>
      </x:c>
      <x:c r="L46" s="431"/>
      <x:c r="M46" s="434" t="s">
        <x:v>447</x:v>
      </x:c>
      <x:c r="N46" s="431"/>
      <x:c r="O46" s="431" t="s">
        <x:v>478</x:v>
      </x:c>
      <x:c r="P46" s="431" t="s">
        <x:v>496</x:v>
      </x:c>
      <x:c r="Q46" s="431" t="s">
        <x:v>511</x:v>
      </x:c>
      <x:c r="R46" s="435" t="s">
        <x:v>454</x:v>
      </x:c>
    </x:row>
    <x:row r="47" s="460" customFormat="1" ht="60">
      <x:c r="A47" s="453"/>
      <x:c r="B47" s="454"/>
      <x:c r="C47" s="453">
        <x:v>20</x:v>
      </x:c>
      <x:c r="D47" s="455" t="s">
        <x:v>518</x:v>
      </x:c>
      <x:c r="E47" s="456" t="s">
        <x:v>466</x:v>
      </x:c>
      <x:c r="F47" s="457" t="s">
        <x:v>75</x:v>
      </x:c>
      <x:c r="G47" s="453" t="s">
        <x:v>444</x:v>
      </x:c>
      <x:c r="H47" s="453" t="s">
        <x:v>474</x:v>
      </x:c>
      <x:c r="I47" s="457" t="s">
        <x:v>217</x:v>
      </x:c>
      <x:c r="J47" s="453">
        <x:v>2</x:v>
      </x:c>
      <x:c r="K47" s="458" t="s">
        <x:v>447</x:v>
      </x:c>
      <x:c r="L47" s="453"/>
      <x:c r="M47" s="459" t="s">
        <x:v>447</x:v>
      </x:c>
      <x:c r="N47" s="453"/>
      <x:c r="O47" s="453" t="s">
        <x:v>478</x:v>
      </x:c>
      <x:c r="P47" s="453"/>
      <x:c r="Q47" s="453"/>
      <x:c r="R47" s="454" t="s">
        <x:v>491</x:v>
      </x:c>
    </x:row>
    <x:row r="48" s="482" customFormat="1" ht="7.150000095367432" customHeight="1">
      <x:c r="A48" s="475"/>
      <x:c r="B48" s="476"/>
      <x:c r="C48" s="475">
        <x:v>21</x:v>
      </x:c>
      <x:c r="D48" s="477" t="s">
        <x:v>519</x:v>
      </x:c>
      <x:c r="E48" s="478" t="s">
        <x:v>443</x:v>
      </x:c>
      <x:c r="F48" s="479" t="s">
        <x:v>98</x:v>
      </x:c>
      <x:c r="G48" s="475" t="s">
        <x:v>444</x:v>
      </x:c>
      <x:c r="H48" s="475" t="s">
        <x:v>474</x:v>
      </x:c>
      <x:c r="I48" s="479" t="s">
        <x:v>520</x:v>
      </x:c>
      <x:c r="J48" s="475">
        <x:v>1</x:v>
      </x:c>
      <x:c r="K48" s="480" t="s">
        <x:v>447</x:v>
      </x:c>
      <x:c r="L48" s="475"/>
      <x:c r="M48" s="481" t="s">
        <x:v>447</x:v>
      </x:c>
      <x:c r="N48" s="475"/>
      <x:c r="O48" s="475"/>
      <x:c r="P48" s="475"/>
      <x:c r="Q48" s="475"/>
      <x:c r="R48" s="476" t="s">
        <x:v>454</x:v>
      </x:c>
    </x:row>
    <x:row r="49" s="460" customFormat="1" ht="60">
      <x:c r="A49" s="453">
        <x:v>6</x:v>
      </x:c>
      <x:c r="B49" s="454" t="s">
        <x:v>521</x:v>
      </x:c>
      <x:c r="C49" s="783">
        <x:v>1</x:v>
      </x:c>
      <x:c r="D49" s="466" t="s">
        <x:v>522</x:v>
      </x:c>
      <x:c r="E49" s="456" t="s">
        <x:v>466</x:v>
      </x:c>
      <x:c r="F49" s="457" t="s">
        <x:v>75</x:v>
      </x:c>
      <x:c r="G49" s="453" t="s">
        <x:v>444</x:v>
      </x:c>
      <x:c r="H49" s="453"/>
      <x:c r="I49" s="457" t="s">
        <x:v>523</x:v>
      </x:c>
      <x:c r="J49" s="781">
        <x:v>2</x:v>
      </x:c>
      <x:c r="K49" s="781" t="s">
        <x:v>447</x:v>
      </x:c>
      <x:c r="L49" s="453"/>
      <x:c r="M49" s="483" t="s">
        <x:v>447</x:v>
      </x:c>
      <x:c r="N49" s="453"/>
      <x:c r="O49" s="453" t="s">
        <x:v>478</x:v>
      </x:c>
      <x:c r="P49" s="453"/>
      <x:c r="Q49" s="453"/>
      <x:c r="R49" s="454" t="s">
        <x:v>491</x:v>
      </x:c>
    </x:row>
    <x:row r="50" s="436" customFormat="1" ht="60">
      <x:c r="A50" s="431"/>
      <x:c r="B50" s="435"/>
      <x:c r="C50" s="784"/>
      <x:c r="D50" s="452" t="s">
        <x:v>524</x:v>
      </x:c>
      <x:c r="E50" s="429" t="s">
        <x:v>505</x:v>
      </x:c>
      <x:c r="F50" s="432" t="s">
        <x:v>75</x:v>
      </x:c>
      <x:c r="G50" s="431" t="s">
        <x:v>444</x:v>
      </x:c>
      <x:c r="H50" s="431"/>
      <x:c r="I50" s="432" t="s">
        <x:v>523</x:v>
      </x:c>
      <x:c r="J50" s="782"/>
      <x:c r="K50" s="782"/>
      <x:c r="L50" s="431"/>
      <x:c r="M50" s="437" t="s">
        <x:v>447</x:v>
      </x:c>
      <x:c r="N50" s="431"/>
      <x:c r="O50" s="431"/>
      <x:c r="P50" s="431" t="s">
        <x:v>451</x:v>
      </x:c>
      <x:c r="Q50" s="431"/>
      <x:c r="R50" s="435" t="s">
        <x:v>454</x:v>
      </x:c>
    </x:row>
    <x:row r="51" s="460" customFormat="1" ht="36.599998474121094" customHeight="1">
      <x:c r="A51" s="453"/>
      <x:c r="B51" s="454"/>
      <x:c r="C51" s="453">
        <x:v>2</x:v>
      </x:c>
      <x:c r="D51" s="485" t="s">
        <x:v>525</x:v>
      </x:c>
      <x:c r="E51" s="456" t="s">
        <x:v>466</x:v>
      </x:c>
      <x:c r="F51" s="457" t="s">
        <x:v>75</x:v>
      </x:c>
      <x:c r="G51" s="453" t="s">
        <x:v>444</x:v>
      </x:c>
      <x:c r="H51" s="453"/>
      <x:c r="I51" s="457" t="s">
        <x:v>523</x:v>
      </x:c>
      <x:c r="J51" s="453">
        <x:v>1</x:v>
      </x:c>
      <x:c r="K51" s="486" t="s">
        <x:v>447</x:v>
      </x:c>
      <x:c r="L51" s="453"/>
      <x:c r="M51" s="483" t="s">
        <x:v>447</x:v>
      </x:c>
      <x:c r="N51" s="453"/>
      <x:c r="O51" s="453" t="s">
        <x:v>478</x:v>
      </x:c>
      <x:c r="P51" s="453"/>
      <x:c r="Q51" s="453"/>
      <x:c r="R51" s="454" t="s">
        <x:v>491</x:v>
      </x:c>
    </x:row>
    <x:row r="52" s="460" customFormat="1" ht="18" customHeight="1">
      <x:c r="A52" s="453"/>
      <x:c r="B52" s="454"/>
      <x:c r="C52" s="453">
        <x:v>3</x:v>
      </x:c>
      <x:c r="D52" s="454" t="s">
        <x:v>526</x:v>
      </x:c>
      <x:c r="E52" s="456" t="s">
        <x:v>466</x:v>
      </x:c>
      <x:c r="F52" s="457" t="s">
        <x:v>75</x:v>
      </x:c>
      <x:c r="G52" s="453" t="s">
        <x:v>444</x:v>
      </x:c>
      <x:c r="H52" s="453"/>
      <x:c r="I52" s="457" t="s">
        <x:v>527</x:v>
      </x:c>
      <x:c r="J52" s="453">
        <x:v>2</x:v>
      </x:c>
      <x:c r="K52" s="486" t="s">
        <x:v>447</x:v>
      </x:c>
      <x:c r="L52" s="453">
        <x:v>1</x:v>
      </x:c>
      <x:c r="M52" s="483" t="s">
        <x:v>447</x:v>
      </x:c>
      <x:c r="N52" s="453"/>
      <x:c r="O52" s="453" t="s">
        <x:v>528</x:v>
      </x:c>
      <x:c r="P52" s="453"/>
      <x:c r="Q52" s="453"/>
      <x:c r="R52" s="454" t="s">
        <x:v>491</x:v>
      </x:c>
    </x:row>
    <x:row r="53" s="460" customFormat="1" ht="20.25" customHeight="1">
      <x:c r="A53" s="453"/>
      <x:c r="B53" s="454"/>
      <x:c r="C53" s="453">
        <x:v>4</x:v>
      </x:c>
      <x:c r="D53" s="454" t="s">
        <x:v>529</x:v>
      </x:c>
      <x:c r="E53" s="456" t="s">
        <x:v>466</x:v>
      </x:c>
      <x:c r="F53" s="457" t="s">
        <x:v>75</x:v>
      </x:c>
      <x:c r="G53" s="453" t="s">
        <x:v>444</x:v>
      </x:c>
      <x:c r="H53" s="453"/>
      <x:c r="I53" s="457" t="s">
        <x:v>527</x:v>
      </x:c>
      <x:c r="J53" s="453">
        <x:v>2</x:v>
      </x:c>
      <x:c r="K53" s="486" t="s">
        <x:v>447</x:v>
      </x:c>
      <x:c r="L53" s="453"/>
      <x:c r="M53" s="483" t="s">
        <x:v>447</x:v>
      </x:c>
      <x:c r="N53" s="453"/>
      <x:c r="O53" s="453" t="s">
        <x:v>528</x:v>
      </x:c>
      <x:c r="P53" s="453"/>
      <x:c r="Q53" s="453"/>
      <x:c r="R53" s="454" t="s">
        <x:v>491</x:v>
      </x:c>
    </x:row>
    <x:row r="54" s="460" customFormat="1" ht="19.5" customHeight="1">
      <x:c r="A54" s="453"/>
      <x:c r="B54" s="454"/>
      <x:c r="C54" s="453">
        <x:v>5</x:v>
      </x:c>
      <x:c r="D54" s="454" t="s">
        <x:v>530</x:v>
      </x:c>
      <x:c r="E54" s="456" t="s">
        <x:v>466</x:v>
      </x:c>
      <x:c r="F54" s="457" t="s">
        <x:v>75</x:v>
      </x:c>
      <x:c r="G54" s="453" t="s">
        <x:v>444</x:v>
      </x:c>
      <x:c r="H54" s="453"/>
      <x:c r="I54" s="457" t="s">
        <x:v>527</x:v>
      </x:c>
      <x:c r="J54" s="453">
        <x:v>1</x:v>
      </x:c>
      <x:c r="K54" s="486" t="s">
        <x:v>447</x:v>
      </x:c>
      <x:c r="L54" s="453"/>
      <x:c r="M54" s="483" t="s">
        <x:v>447</x:v>
      </x:c>
      <x:c r="N54" s="453"/>
      <x:c r="O54" s="453" t="s">
        <x:v>500</x:v>
      </x:c>
      <x:c r="P54" s="453"/>
      <x:c r="Q54" s="453"/>
      <x:c r="R54" s="454" t="s">
        <x:v>491</x:v>
      </x:c>
    </x:row>
    <x:row r="55" s="436" customFormat="1" ht="30">
      <x:c r="A55" s="431"/>
      <x:c r="B55" s="435"/>
      <x:c r="C55" s="431">
        <x:v>6</x:v>
      </x:c>
      <x:c r="D55" s="435" t="s">
        <x:v>531</x:v>
      </x:c>
      <x:c r="E55" s="429" t="s">
        <x:v>443</x:v>
      </x:c>
      <x:c r="F55" s="432" t="s">
        <x:v>75</x:v>
      </x:c>
      <x:c r="G55" s="431" t="s">
        <x:v>444</x:v>
      </x:c>
      <x:c r="H55" s="431"/>
      <x:c r="I55" s="432" t="s">
        <x:v>527</x:v>
      </x:c>
      <x:c r="J55" s="431">
        <x:v>1</x:v>
      </x:c>
      <x:c r="K55" s="438" t="s">
        <x:v>447</x:v>
      </x:c>
      <x:c r="L55" s="431"/>
      <x:c r="M55" s="437" t="s">
        <x:v>447</x:v>
      </x:c>
      <x:c r="N55" s="431"/>
      <x:c r="O55" s="431"/>
      <x:c r="P55" s="431" t="s">
        <x:v>451</x:v>
      </x:c>
      <x:c r="Q55" s="431"/>
      <x:c r="R55" s="435" t="s">
        <x:v>454</x:v>
      </x:c>
    </x:row>
    <x:row r="56" s="436" customFormat="1" ht="7.150000095367432" customHeight="1">
      <x:c r="A56" s="431"/>
      <x:c r="B56" s="435"/>
      <x:c r="C56" s="431">
        <x:v>7</x:v>
      </x:c>
      <x:c r="D56" s="435" t="s">
        <x:v>532</x:v>
      </x:c>
      <x:c r="E56" s="429" t="s">
        <x:v>443</x:v>
      </x:c>
      <x:c r="F56" s="432" t="s">
        <x:v>75</x:v>
      </x:c>
      <x:c r="G56" s="431" t="s">
        <x:v>444</x:v>
      </x:c>
      <x:c r="H56" s="431"/>
      <x:c r="I56" s="432" t="s">
        <x:v>527</x:v>
      </x:c>
      <x:c r="J56" s="431">
        <x:v>1</x:v>
      </x:c>
      <x:c r="K56" s="438" t="s">
        <x:v>447</x:v>
      </x:c>
      <x:c r="L56" s="431"/>
      <x:c r="M56" s="437" t="s">
        <x:v>447</x:v>
      </x:c>
      <x:c r="N56" s="431"/>
      <x:c r="O56" s="431"/>
      <x:c r="P56" s="431" t="s">
        <x:v>451</x:v>
      </x:c>
      <x:c r="Q56" s="431"/>
      <x:c r="R56" s="435" t="s">
        <x:v>454</x:v>
      </x:c>
    </x:row>
    <x:row r="57" s="450" customFormat="1" ht="30">
      <x:c r="A57" s="443"/>
      <x:c r="B57" s="444"/>
      <x:c r="C57" s="443">
        <x:v>8</x:v>
      </x:c>
      <x:c r="D57" s="444" t="s">
        <x:v>533</x:v>
      </x:c>
      <x:c r="E57" s="446" t="s">
        <x:v>466</x:v>
      </x:c>
      <x:c r="F57" s="443" t="s">
        <x:v>87</x:v>
      </x:c>
      <x:c r="G57" s="443" t="s">
        <x:v>444</x:v>
      </x:c>
      <x:c r="H57" s="443"/>
      <x:c r="I57" s="447" t="s">
        <x:v>114</x:v>
      </x:c>
      <x:c r="J57" s="443">
        <x:v>28</x:v>
      </x:c>
      <x:c r="K57" s="487" t="s">
        <x:v>447</x:v>
      </x:c>
      <x:c r="L57" s="443"/>
      <x:c r="M57" s="488" t="s">
        <x:v>447</x:v>
      </x:c>
      <x:c r="N57" s="443"/>
      <x:c r="O57" s="443"/>
      <x:c r="P57" s="443"/>
      <x:c r="Q57" s="443"/>
      <x:c r="R57" s="444" t="s">
        <x:v>454</x:v>
      </x:c>
    </x:row>
    <x:row r="58" s="436" customFormat="1" ht="30">
      <x:c r="A58" s="431"/>
      <x:c r="B58" s="435"/>
      <x:c r="C58" s="431">
        <x:v>9</x:v>
      </x:c>
      <x:c r="D58" s="435" t="s">
        <x:v>534</x:v>
      </x:c>
      <x:c r="E58" s="429" t="s">
        <x:v>505</x:v>
      </x:c>
      <x:c r="F58" s="431" t="s">
        <x:v>80</x:v>
      </x:c>
      <x:c r="G58" s="431" t="s">
        <x:v>444</x:v>
      </x:c>
      <x:c r="H58" s="431"/>
      <x:c r="I58" s="432" t="s">
        <x:v>129</x:v>
      </x:c>
      <x:c r="J58" s="431">
        <x:v>1</x:v>
      </x:c>
      <x:c r="K58" s="438" t="s">
        <x:v>447</x:v>
      </x:c>
      <x:c r="L58" s="431"/>
      <x:c r="M58" s="437" t="s">
        <x:v>447</x:v>
      </x:c>
      <x:c r="N58" s="431"/>
      <x:c r="O58" s="431"/>
      <x:c r="P58" s="431" t="s">
        <x:v>535</x:v>
      </x:c>
      <x:c r="Q58" s="431"/>
      <x:c r="R58" s="435" t="s">
        <x:v>536</x:v>
      </x:c>
    </x:row>
    <x:row r="59" s="460" customFormat="1" ht="16.5" customHeight="1">
      <x:c r="A59" s="453"/>
      <x:c r="B59" s="454"/>
      <x:c r="C59" s="783">
        <x:v>10</x:v>
      </x:c>
      <x:c r="D59" s="454" t="s">
        <x:v>537</x:v>
      </x:c>
      <x:c r="E59" s="456" t="s">
        <x:v>466</x:v>
      </x:c>
      <x:c r="F59" s="453" t="s">
        <x:v>80</x:v>
      </x:c>
      <x:c r="G59" s="453" t="s">
        <x:v>444</x:v>
      </x:c>
      <x:c r="H59" s="453"/>
      <x:c r="I59" s="457" t="s">
        <x:v>516</x:v>
      </x:c>
      <x:c r="J59" s="781">
        <x:v>1</x:v>
      </x:c>
      <x:c r="K59" s="781" t="s">
        <x:v>447</x:v>
      </x:c>
      <x:c r="L59" s="453"/>
      <x:c r="M59" s="483" t="s">
        <x:v>447</x:v>
      </x:c>
      <x:c r="N59" s="453"/>
      <x:c r="O59" s="453"/>
      <x:c r="P59" s="453"/>
      <x:c r="Q59" s="453"/>
      <x:c r="R59" s="454" t="s">
        <x:v>538</x:v>
      </x:c>
    </x:row>
    <x:row r="60" s="436" customFormat="1" ht="18.399999618530273" customHeight="1">
      <x:c r="A60" s="431"/>
      <x:c r="B60" s="435"/>
      <x:c r="C60" s="784"/>
      <x:c r="D60" s="435" t="s">
        <x:v>539</x:v>
      </x:c>
      <x:c r="E60" s="429" t="s">
        <x:v>505</x:v>
      </x:c>
      <x:c r="F60" s="431" t="s">
        <x:v>80</x:v>
      </x:c>
      <x:c r="G60" s="431" t="s">
        <x:v>444</x:v>
      </x:c>
      <x:c r="H60" s="431"/>
      <x:c r="I60" s="432" t="s">
        <x:v>516</x:v>
      </x:c>
      <x:c r="J60" s="782"/>
      <x:c r="K60" s="782"/>
      <x:c r="L60" s="431"/>
      <x:c r="M60" s="437" t="s">
        <x:v>447</x:v>
      </x:c>
      <x:c r="N60" s="431"/>
      <x:c r="O60" s="431"/>
      <x:c r="P60" s="431"/>
      <x:c r="Q60" s="431"/>
      <x:c r="R60" s="435" t="s">
        <x:v>454</x:v>
      </x:c>
    </x:row>
    <x:row r="61" s="436" customFormat="1" ht="45">
      <x:c r="A61" s="431"/>
      <x:c r="B61" s="435"/>
      <x:c r="C61" s="431">
        <x:v>11</x:v>
      </x:c>
      <x:c r="D61" s="441" t="s">
        <x:v>540</x:v>
      </x:c>
      <x:c r="E61" s="429" t="s">
        <x:v>505</x:v>
      </x:c>
      <x:c r="F61" s="431" t="s">
        <x:v>80</x:v>
      </x:c>
      <x:c r="G61" s="431" t="s">
        <x:v>444</x:v>
      </x:c>
      <x:c r="H61" s="431"/>
      <x:c r="I61" s="432" t="s">
        <x:v>516</x:v>
      </x:c>
      <x:c r="J61" s="431">
        <x:v>1</x:v>
      </x:c>
      <x:c r="K61" s="438" t="s">
        <x:v>447</x:v>
      </x:c>
      <x:c r="L61" s="431"/>
      <x:c r="M61" s="437" t="s">
        <x:v>447</x:v>
      </x:c>
      <x:c r="N61" s="431"/>
      <x:c r="O61" s="431"/>
      <x:c r="P61" s="431"/>
      <x:c r="Q61" s="431"/>
      <x:c r="R61" s="435" t="s">
        <x:v>454</x:v>
      </x:c>
    </x:row>
    <x:row r="62" s="436" customFormat="1" ht="20.649999618530273" customHeight="1">
      <x:c r="A62" s="431"/>
      <x:c r="B62" s="435"/>
      <x:c r="C62" s="431">
        <x:v>12</x:v>
      </x:c>
      <x:c r="D62" s="441" t="s">
        <x:v>541</x:v>
      </x:c>
      <x:c r="E62" s="429" t="s">
        <x:v>505</x:v>
      </x:c>
      <x:c r="F62" s="431" t="s">
        <x:v>80</x:v>
      </x:c>
      <x:c r="G62" s="431" t="s">
        <x:v>444</x:v>
      </x:c>
      <x:c r="H62" s="431"/>
      <x:c r="I62" s="432" t="s">
        <x:v>516</x:v>
      </x:c>
      <x:c r="J62" s="431">
        <x:v>1</x:v>
      </x:c>
      <x:c r="K62" s="438" t="s">
        <x:v>447</x:v>
      </x:c>
      <x:c r="L62" s="431"/>
      <x:c r="M62" s="437" t="s">
        <x:v>447</x:v>
      </x:c>
      <x:c r="N62" s="431"/>
      <x:c r="O62" s="431"/>
      <x:c r="P62" s="431"/>
      <x:c r="Q62" s="431"/>
      <x:c r="R62" s="435" t="s">
        <x:v>454</x:v>
      </x:c>
    </x:row>
    <x:row r="63" s="460" customFormat="1" ht="45">
      <x:c r="A63" s="453"/>
      <x:c r="B63" s="454"/>
      <x:c r="C63" s="453">
        <x:v>13</x:v>
      </x:c>
      <x:c r="D63" s="455" t="s">
        <x:v>542</x:v>
      </x:c>
      <x:c r="E63" s="456" t="s">
        <x:v>466</x:v>
      </x:c>
      <x:c r="F63" s="453" t="s">
        <x:v>80</x:v>
      </x:c>
      <x:c r="G63" s="453" t="s">
        <x:v>444</x:v>
      </x:c>
      <x:c r="H63" s="453"/>
      <x:c r="I63" s="457" t="s">
        <x:v>516</x:v>
      </x:c>
      <x:c r="J63" s="453">
        <x:v>1</x:v>
      </x:c>
      <x:c r="K63" s="486" t="s">
        <x:v>447</x:v>
      </x:c>
      <x:c r="L63" s="453"/>
      <x:c r="M63" s="483" t="s">
        <x:v>447</x:v>
      </x:c>
      <x:c r="N63" s="453"/>
      <x:c r="O63" s="453"/>
      <x:c r="P63" s="453"/>
      <x:c r="Q63" s="453"/>
      <x:c r="R63" s="454" t="s">
        <x:v>491</x:v>
      </x:c>
    </x:row>
    <x:row r="64" s="460" customFormat="1" ht="14.449999809265137" customHeight="1">
      <x:c r="A64" s="453"/>
      <x:c r="B64" s="454"/>
      <x:c r="C64" s="453">
        <x:v>14</x:v>
      </x:c>
      <x:c r="D64" s="489" t="s">
        <x:v>543</x:v>
      </x:c>
      <x:c r="E64" s="456" t="s">
        <x:v>466</x:v>
      </x:c>
      <x:c r="F64" s="453" t="s">
        <x:v>80</x:v>
      </x:c>
      <x:c r="G64" s="453" t="s">
        <x:v>444</x:v>
      </x:c>
      <x:c r="H64" s="453"/>
      <x:c r="I64" s="457" t="s">
        <x:v>516</x:v>
      </x:c>
      <x:c r="J64" s="453">
        <x:v>1</x:v>
      </x:c>
      <x:c r="K64" s="486" t="s">
        <x:v>447</x:v>
      </x:c>
      <x:c r="L64" s="453"/>
      <x:c r="M64" s="483" t="s">
        <x:v>447</x:v>
      </x:c>
      <x:c r="N64" s="453"/>
      <x:c r="O64" s="453"/>
      <x:c r="P64" s="453"/>
      <x:c r="Q64" s="453"/>
      <x:c r="R64" s="454" t="s">
        <x:v>491</x:v>
      </x:c>
    </x:row>
    <x:row r="65" s="460" customFormat="1" ht="45">
      <x:c r="A65" s="453"/>
      <x:c r="B65" s="454"/>
      <x:c r="C65" s="453">
        <x:v>15</x:v>
      </x:c>
      <x:c r="D65" s="490" t="s">
        <x:v>544</x:v>
      </x:c>
      <x:c r="E65" s="456" t="s">
        <x:v>466</x:v>
      </x:c>
      <x:c r="F65" s="453" t="s">
        <x:v>80</x:v>
      </x:c>
      <x:c r="G65" s="453" t="s">
        <x:v>444</x:v>
      </x:c>
      <x:c r="H65" s="453"/>
      <x:c r="I65" s="457" t="s">
        <x:v>516</x:v>
      </x:c>
      <x:c r="J65" s="453">
        <x:v>1</x:v>
      </x:c>
      <x:c r="K65" s="486" t="s">
        <x:v>447</x:v>
      </x:c>
      <x:c r="L65" s="453"/>
      <x:c r="M65" s="483" t="s">
        <x:v>447</x:v>
      </x:c>
      <x:c r="N65" s="453"/>
      <x:c r="O65" s="453"/>
      <x:c r="P65" s="453"/>
      <x:c r="Q65" s="453"/>
      <x:c r="R65" s="454" t="s">
        <x:v>545</x:v>
      </x:c>
    </x:row>
    <x:row r="66" s="460" customFormat="1" ht="45">
      <x:c r="A66" s="453"/>
      <x:c r="B66" s="454"/>
      <x:c r="C66" s="453">
        <x:v>16</x:v>
      </x:c>
      <x:c r="D66" s="491" t="s">
        <x:v>546</x:v>
      </x:c>
      <x:c r="E66" s="456" t="s">
        <x:v>466</x:v>
      </x:c>
      <x:c r="F66" s="453" t="s">
        <x:v>80</x:v>
      </x:c>
      <x:c r="G66" s="453" t="s">
        <x:v>444</x:v>
      </x:c>
      <x:c r="H66" s="453"/>
      <x:c r="I66" s="457" t="s">
        <x:v>516</x:v>
      </x:c>
      <x:c r="J66" s="453">
        <x:v>1</x:v>
      </x:c>
      <x:c r="K66" s="486" t="s">
        <x:v>447</x:v>
      </x:c>
      <x:c r="L66" s="453"/>
      <x:c r="M66" s="483" t="s">
        <x:v>447</x:v>
      </x:c>
      <x:c r="N66" s="453"/>
      <x:c r="O66" s="453"/>
      <x:c r="P66" s="453"/>
      <x:c r="Q66" s="453"/>
      <x:c r="R66" s="454" t="s">
        <x:v>491</x:v>
      </x:c>
    </x:row>
    <x:row r="67" s="499" customFormat="1" ht="22.149999618530273" customHeight="1">
      <x:c r="A67" s="492"/>
      <x:c r="B67" s="493"/>
      <x:c r="C67" s="492">
        <x:v>18</x:v>
      </x:c>
      <x:c r="D67" s="494" t="s">
        <x:v>547</x:v>
      </x:c>
      <x:c r="E67" s="495" t="s">
        <x:v>466</x:v>
      </x:c>
      <x:c r="F67" s="492" t="s">
        <x:v>80</x:v>
      </x:c>
      <x:c r="G67" s="492" t="s">
        <x:v>444</x:v>
      </x:c>
      <x:c r="H67" s="492"/>
      <x:c r="I67" s="496" t="s">
        <x:v>516</x:v>
      </x:c>
      <x:c r="J67" s="492">
        <x:v>1</x:v>
      </x:c>
      <x:c r="K67" s="497" t="s">
        <x:v>447</x:v>
      </x:c>
      <x:c r="L67" s="492">
        <x:v>36</x:v>
      </x:c>
      <x:c r="M67" s="498" t="s">
        <x:v>447</x:v>
      </x:c>
      <x:c r="N67" s="492"/>
      <x:c r="O67" s="492"/>
      <x:c r="P67" s="492"/>
      <x:c r="Q67" s="492"/>
      <x:c r="R67" s="493" t="s">
        <x:v>548</x:v>
      </x:c>
    </x:row>
    <x:row r="68" s="436" customFormat="1" ht="45">
      <x:c r="A68" s="431"/>
      <x:c r="B68" s="435"/>
      <x:c r="C68" s="431">
        <x:v>19</x:v>
      </x:c>
      <x:c r="D68" s="500" t="s">
        <x:v>549</x:v>
      </x:c>
      <x:c r="E68" s="429" t="s">
        <x:v>443</x:v>
      </x:c>
      <x:c r="F68" s="431" t="s">
        <x:v>80</x:v>
      </x:c>
      <x:c r="G68" s="431" t="s">
        <x:v>444</x:v>
      </x:c>
      <x:c r="H68" s="431"/>
      <x:c r="I68" s="432" t="s">
        <x:v>516</x:v>
      </x:c>
      <x:c r="J68" s="431">
        <x:v>1</x:v>
      </x:c>
      <x:c r="K68" s="438" t="s">
        <x:v>447</x:v>
      </x:c>
      <x:c r="L68" s="431"/>
      <x:c r="M68" s="437" t="s">
        <x:v>447</x:v>
      </x:c>
      <x:c r="N68" s="431"/>
      <x:c r="O68" s="431"/>
      <x:c r="P68" s="431"/>
      <x:c r="Q68" s="431"/>
      <x:c r="R68" s="435" t="s">
        <x:v>454</x:v>
      </x:c>
    </x:row>
    <x:row r="69" s="506" customFormat="1" ht="45">
      <x:c r="A69" s="501"/>
      <x:c r="B69" s="451"/>
      <x:c r="C69" s="501">
        <x:v>20</x:v>
      </x:c>
      <x:c r="D69" s="502" t="s">
        <x:v>550</x:v>
      </x:c>
      <x:c r="E69" s="446" t="s">
        <x:v>466</x:v>
      </x:c>
      <x:c r="F69" s="501" t="s">
        <x:v>80</x:v>
      </x:c>
      <x:c r="G69" s="501" t="s">
        <x:v>444</x:v>
      </x:c>
      <x:c r="H69" s="501"/>
      <x:c r="I69" s="503" t="s">
        <x:v>516</x:v>
      </x:c>
      <x:c r="J69" s="501">
        <x:v>1</x:v>
      </x:c>
      <x:c r="K69" s="504" t="s">
        <x:v>447</x:v>
      </x:c>
      <x:c r="L69" s="501">
        <x:v>1</x:v>
      </x:c>
      <x:c r="M69" s="505" t="s">
        <x:v>447</x:v>
      </x:c>
      <x:c r="N69" s="501"/>
      <x:c r="O69" s="501"/>
      <x:c r="P69" s="501"/>
      <x:c r="Q69" s="501"/>
      <x:c r="R69" s="451" t="s">
        <x:v>551</x:v>
      </x:c>
    </x:row>
    <x:row r="70" s="436" customFormat="1" ht="30">
      <x:c r="A70" s="431"/>
      <x:c r="B70" s="435"/>
      <x:c r="C70" s="431">
        <x:v>21</x:v>
      </x:c>
      <x:c r="D70" s="507" t="s">
        <x:v>552</x:v>
      </x:c>
      <x:c r="E70" s="429" t="s">
        <x:v>443</x:v>
      </x:c>
      <x:c r="F70" s="431" t="s">
        <x:v>75</x:v>
      </x:c>
      <x:c r="G70" s="431" t="s">
        <x:v>444</x:v>
      </x:c>
      <x:c r="H70" s="431"/>
      <x:c r="I70" s="432" t="s">
        <x:v>218</x:v>
      </x:c>
      <x:c r="J70" s="431">
        <x:v>1</x:v>
      </x:c>
      <x:c r="K70" s="438" t="s">
        <x:v>447</x:v>
      </x:c>
      <x:c r="L70" s="431"/>
      <x:c r="M70" s="437" t="s">
        <x:v>447</x:v>
      </x:c>
      <x:c r="N70" s="431"/>
      <x:c r="O70" s="431"/>
      <x:c r="P70" s="431"/>
      <x:c r="Q70" s="431" t="s">
        <x:v>511</x:v>
      </x:c>
      <x:c r="R70" s="435" t="s">
        <x:v>454</x:v>
      </x:c>
    </x:row>
    <x:row r="71" s="436" customFormat="1" ht="14.449999809265137" customHeight="1">
      <x:c r="A71" s="431"/>
      <x:c r="B71" s="435"/>
      <x:c r="C71" s="431">
        <x:v>22</x:v>
      </x:c>
      <x:c r="D71" s="507" t="s">
        <x:v>553</x:v>
      </x:c>
      <x:c r="E71" s="429" t="s">
        <x:v>443</x:v>
      </x:c>
      <x:c r="F71" s="431" t="s">
        <x:v>75</x:v>
      </x:c>
      <x:c r="G71" s="431" t="s">
        <x:v>444</x:v>
      </x:c>
      <x:c r="H71" s="431"/>
      <x:c r="I71" s="432" t="s">
        <x:v>218</x:v>
      </x:c>
      <x:c r="J71" s="431">
        <x:v>1</x:v>
      </x:c>
      <x:c r="K71" s="438" t="s">
        <x:v>447</x:v>
      </x:c>
      <x:c r="L71" s="431"/>
      <x:c r="M71" s="437" t="s">
        <x:v>447</x:v>
      </x:c>
      <x:c r="N71" s="431"/>
      <x:c r="O71" s="431"/>
      <x:c r="P71" s="431"/>
      <x:c r="Q71" s="431"/>
      <x:c r="R71" s="435" t="s">
        <x:v>454</x:v>
      </x:c>
    </x:row>
    <x:row r="72" s="436" customFormat="1" ht="30">
      <x:c r="A72" s="431"/>
      <x:c r="B72" s="435"/>
      <x:c r="C72" s="431">
        <x:v>23</x:v>
      </x:c>
      <x:c r="D72" s="507" t="s">
        <x:v>554</x:v>
      </x:c>
      <x:c r="E72" s="429" t="s">
        <x:v>443</x:v>
      </x:c>
      <x:c r="F72" s="431" t="s">
        <x:v>75</x:v>
      </x:c>
      <x:c r="G72" s="431" t="s">
        <x:v>444</x:v>
      </x:c>
      <x:c r="H72" s="431"/>
      <x:c r="I72" s="432" t="s">
        <x:v>218</x:v>
      </x:c>
      <x:c r="J72" s="431">
        <x:v>1</x:v>
      </x:c>
      <x:c r="K72" s="438" t="s">
        <x:v>447</x:v>
      </x:c>
      <x:c r="L72" s="431"/>
      <x:c r="M72" s="437" t="s">
        <x:v>447</x:v>
      </x:c>
      <x:c r="N72" s="431"/>
      <x:c r="O72" s="431"/>
      <x:c r="P72" s="431"/>
      <x:c r="Q72" s="431"/>
      <x:c r="R72" s="435" t="s">
        <x:v>454</x:v>
      </x:c>
    </x:row>
    <x:row r="73" s="436" customFormat="1" ht="30">
      <x:c r="A73" s="431"/>
      <x:c r="B73" s="435"/>
      <x:c r="C73" s="431"/>
      <x:c r="D73" s="507" t="s">
        <x:v>555</x:v>
      </x:c>
      <x:c r="E73" s="429" t="s">
        <x:v>505</x:v>
      </x:c>
      <x:c r="F73" s="431" t="s">
        <x:v>80</x:v>
      </x:c>
      <x:c r="G73" s="431"/>
      <x:c r="H73" s="431"/>
      <x:c r="I73" s="508" t="s">
        <x:v>516</x:v>
      </x:c>
      <x:c r="J73" s="431"/>
      <x:c r="K73" s="438"/>
      <x:c r="L73" s="431"/>
      <x:c r="M73" s="437"/>
      <x:c r="N73" s="431"/>
      <x:c r="O73" s="431"/>
      <x:c r="P73" s="431"/>
      <x:c r="Q73" s="431"/>
      <x:c r="R73" s="435" t="s">
        <x:v>454</x:v>
      </x:c>
    </x:row>
    <x:row r="74" s="482" customFormat="1" ht="30">
      <x:c r="A74" s="475"/>
      <x:c r="B74" s="476"/>
      <x:c r="C74" s="475">
        <x:v>24</x:v>
      </x:c>
      <x:c r="D74" s="509" t="s">
        <x:v>556</x:v>
      </x:c>
      <x:c r="E74" s="478" t="s">
        <x:v>505</x:v>
      </x:c>
      <x:c r="F74" s="475" t="s">
        <x:v>80</x:v>
      </x:c>
      <x:c r="G74" s="475" t="s">
        <x:v>444</x:v>
      </x:c>
      <x:c r="H74" s="475"/>
      <x:c r="I74" s="479" t="s">
        <x:v>520</x:v>
      </x:c>
      <x:c r="J74" s="475">
        <x:v>1</x:v>
      </x:c>
      <x:c r="K74" s="510" t="s">
        <x:v>447</x:v>
      </x:c>
      <x:c r="L74" s="475"/>
      <x:c r="M74" s="511" t="s">
        <x:v>447</x:v>
      </x:c>
      <x:c r="N74" s="475"/>
      <x:c r="O74" s="475"/>
      <x:c r="P74" s="475"/>
      <x:c r="Q74" s="475"/>
      <x:c r="R74" s="476" t="s">
        <x:v>454</x:v>
      </x:c>
    </x:row>
    <x:row r="75" s="436" customFormat="1" ht="7.150000095367432" customHeight="1">
      <x:c r="A75" s="431"/>
      <x:c r="B75" s="435"/>
      <x:c r="C75" s="431">
        <x:v>25</x:v>
      </x:c>
      <x:c r="D75" s="512" t="s">
        <x:v>557</x:v>
      </x:c>
      <x:c r="E75" s="429" t="s">
        <x:v>443</x:v>
      </x:c>
      <x:c r="F75" s="431" t="s">
        <x:v>98</x:v>
      </x:c>
      <x:c r="G75" s="431" t="s">
        <x:v>444</x:v>
      </x:c>
      <x:c r="H75" s="431"/>
      <x:c r="I75" s="432" t="s">
        <x:v>520</x:v>
      </x:c>
      <x:c r="J75" s="431">
        <x:v>1</x:v>
      </x:c>
      <x:c r="K75" s="438" t="s">
        <x:v>447</x:v>
      </x:c>
      <x:c r="L75" s="431"/>
      <x:c r="M75" s="437" t="s">
        <x:v>447</x:v>
      </x:c>
      <x:c r="N75" s="431"/>
      <x:c r="O75" s="431" t="s">
        <x:v>478</x:v>
      </x:c>
      <x:c r="P75" s="431" t="s">
        <x:v>490</x:v>
      </x:c>
      <x:c r="Q75" s="431"/>
      <x:c r="R75" s="435" t="s">
        <x:v>454</x:v>
      </x:c>
    </x:row>
    <x:row r="76" s="436" customFormat="1" ht="7.150000095367432" customHeight="1">
      <x:c r="A76" s="431"/>
      <x:c r="B76" s="435"/>
      <x:c r="C76" s="431"/>
      <x:c r="D76" s="513"/>
      <x:c r="E76" s="429" t="s">
        <x:v>443</x:v>
      </x:c>
      <x:c r="F76" s="431"/>
      <x:c r="G76" s="431"/>
      <x:c r="H76" s="431"/>
      <x:c r="I76" s="432"/>
      <x:c r="J76" s="431"/>
      <x:c r="K76" s="438"/>
      <x:c r="L76" s="431"/>
      <x:c r="M76" s="437"/>
      <x:c r="N76" s="431"/>
      <x:c r="O76" s="431"/>
      <x:c r="P76" s="431"/>
      <x:c r="Q76" s="431"/>
      <x:c r="R76" s="435"/>
    </x:row>
    <x:row r="77" s="436" customFormat="1" ht="26.25" customHeight="1">
      <x:c r="A77" s="431">
        <x:v>7</x:v>
      </x:c>
      <x:c r="B77" s="435" t="s">
        <x:v>558</x:v>
      </x:c>
      <x:c r="C77" s="783">
        <x:v>1</x:v>
      </x:c>
      <x:c r="D77" s="513" t="s">
        <x:v>559</x:v>
      </x:c>
      <x:c r="E77" s="429" t="s">
        <x:v>505</x:v>
      </x:c>
      <x:c r="F77" s="431"/>
      <x:c r="G77" s="431"/>
      <x:c r="H77" s="431"/>
      <x:c r="I77" s="432" t="s">
        <x:v>560</x:v>
      </x:c>
      <x:c r="J77" s="431">
        <x:v>1</x:v>
      </x:c>
      <x:c r="K77" s="438" t="s">
        <x:v>447</x:v>
      </x:c>
      <x:c r="L77" s="431"/>
      <x:c r="M77" s="437" t="s">
        <x:v>447</x:v>
      </x:c>
      <x:c r="N77" s="431"/>
      <x:c r="O77" s="431"/>
      <x:c r="P77" s="431"/>
      <x:c r="Q77" s="431"/>
      <x:c r="R77" s="435" t="s">
        <x:v>454</x:v>
      </x:c>
    </x:row>
    <x:row r="78" ht="45">
      <x:c r="A78" s="514"/>
      <x:c r="B78" s="515"/>
      <x:c r="C78" s="785"/>
      <x:c r="D78" s="516" t="s">
        <x:v>561</x:v>
      </x:c>
      <x:c r="E78" s="429" t="s">
        <x:v>443</x:v>
      </x:c>
      <x:c r="F78" s="514"/>
      <x:c r="G78" s="514"/>
      <x:c r="H78" s="517"/>
      <x:c r="I78" s="432" t="s">
        <x:v>560</x:v>
      </x:c>
      <x:c r="J78" s="517"/>
      <x:c r="K78" s="517"/>
      <x:c r="L78" s="517"/>
      <x:c r="M78" s="517"/>
      <x:c r="N78" s="514"/>
      <x:c r="O78" s="514"/>
      <x:c r="P78" s="514"/>
      <x:c r="Q78" s="514"/>
      <x:c r="R78" s="515" t="s">
        <x:v>454</x:v>
      </x:c>
    </x:row>
    <x:row r="79" ht="45">
      <x:c r="A79" s="514"/>
      <x:c r="B79" s="515"/>
      <x:c r="C79" s="785"/>
      <x:c r="D79" s="518" t="s">
        <x:v>562</x:v>
      </x:c>
      <x:c r="E79" s="429" t="s">
        <x:v>466</x:v>
      </x:c>
      <x:c r="F79" s="514"/>
      <x:c r="G79" s="514"/>
      <x:c r="H79" s="517"/>
      <x:c r="I79" s="432" t="s">
        <x:v>560</x:v>
      </x:c>
      <x:c r="J79" s="517"/>
      <x:c r="K79" s="517"/>
      <x:c r="L79" s="517"/>
      <x:c r="M79" s="517"/>
      <x:c r="N79" s="514"/>
      <x:c r="O79" s="514" t="s">
        <x:v>478</x:v>
      </x:c>
      <x:c r="P79" s="514"/>
      <x:c r="Q79" s="514"/>
      <x:c r="R79" s="515" t="s">
        <x:v>454</x:v>
      </x:c>
    </x:row>
    <x:row r="80" ht="45">
      <x:c r="A80" s="514"/>
      <x:c r="B80" s="515"/>
      <x:c r="C80" s="785"/>
      <x:c r="D80" s="518" t="s">
        <x:v>563</x:v>
      </x:c>
      <x:c r="E80" s="429" t="s">
        <x:v>443</x:v>
      </x:c>
      <x:c r="F80" s="514"/>
      <x:c r="G80" s="514"/>
      <x:c r="H80" s="517"/>
      <x:c r="I80" s="432" t="s">
        <x:v>560</x:v>
      </x:c>
      <x:c r="J80" s="517"/>
      <x:c r="K80" s="517"/>
      <x:c r="L80" s="517"/>
      <x:c r="M80" s="517"/>
      <x:c r="N80" s="514"/>
      <x:c r="O80" s="514"/>
      <x:c r="P80" s="514"/>
      <x:c r="Q80" s="514"/>
      <x:c r="R80" s="515" t="s">
        <x:v>454</x:v>
      </x:c>
    </x:row>
    <x:row r="81" ht="45">
      <x:c r="A81" s="514"/>
      <x:c r="B81" s="515"/>
      <x:c r="C81" s="785"/>
      <x:c r="D81" s="518" t="s">
        <x:v>564</x:v>
      </x:c>
      <x:c r="E81" s="429" t="s">
        <x:v>505</x:v>
      </x:c>
      <x:c r="F81" s="514"/>
      <x:c r="G81" s="514"/>
      <x:c r="H81" s="517"/>
      <x:c r="I81" s="432" t="s">
        <x:v>560</x:v>
      </x:c>
      <x:c r="J81" s="517"/>
      <x:c r="K81" s="517"/>
      <x:c r="L81" s="517"/>
      <x:c r="M81" s="517"/>
      <x:c r="N81" s="514"/>
      <x:c r="O81" s="514" t="s">
        <x:v>490</x:v>
      </x:c>
      <x:c r="P81" s="514"/>
      <x:c r="Q81" s="514"/>
      <x:c r="R81" s="515" t="s">
        <x:v>454</x:v>
      </x:c>
    </x:row>
    <x:row r="82" ht="45">
      <x:c r="A82" s="514"/>
      <x:c r="B82" s="515"/>
      <x:c r="C82" s="785"/>
      <x:c r="D82" s="518" t="s">
        <x:v>565</x:v>
      </x:c>
      <x:c r="E82" s="429" t="s">
        <x:v>443</x:v>
      </x:c>
      <x:c r="F82" s="514"/>
      <x:c r="G82" s="514"/>
      <x:c r="H82" s="517"/>
      <x:c r="I82" s="432" t="s">
        <x:v>560</x:v>
      </x:c>
      <x:c r="J82" s="517"/>
      <x:c r="K82" s="517"/>
      <x:c r="L82" s="517"/>
      <x:c r="M82" s="517"/>
      <x:c r="N82" s="514"/>
      <x:c r="O82" s="514"/>
      <x:c r="P82" s="514"/>
      <x:c r="Q82" s="514"/>
      <x:c r="R82" s="515" t="s">
        <x:v>454</x:v>
      </x:c>
    </x:row>
    <x:row r="83" ht="45">
      <x:c r="A83" s="514"/>
      <x:c r="B83" s="515"/>
      <x:c r="C83" s="785"/>
      <x:c r="D83" s="516" t="s">
        <x:v>566</x:v>
      </x:c>
      <x:c r="E83" s="429" t="s">
        <x:v>443</x:v>
      </x:c>
      <x:c r="F83" s="514"/>
      <x:c r="G83" s="514"/>
      <x:c r="H83" s="517"/>
      <x:c r="I83" s="432" t="s">
        <x:v>560</x:v>
      </x:c>
      <x:c r="J83" s="517"/>
      <x:c r="K83" s="517"/>
      <x:c r="L83" s="517"/>
      <x:c r="M83" s="517"/>
      <x:c r="N83" s="514"/>
      <x:c r="O83" s="514"/>
      <x:c r="P83" s="514"/>
      <x:c r="Q83" s="514"/>
      <x:c r="R83" s="515" t="s">
        <x:v>454</x:v>
      </x:c>
    </x:row>
    <x:row r="84" ht="45">
      <x:c r="A84" s="514"/>
      <x:c r="B84" s="515"/>
      <x:c r="C84" s="785"/>
      <x:c r="D84" s="518" t="s">
        <x:v>567</x:v>
      </x:c>
      <x:c r="E84" s="429" t="s">
        <x:v>443</x:v>
      </x:c>
      <x:c r="F84" s="514"/>
      <x:c r="G84" s="514"/>
      <x:c r="H84" s="517"/>
      <x:c r="I84" s="432" t="s">
        <x:v>560</x:v>
      </x:c>
      <x:c r="J84" s="517"/>
      <x:c r="K84" s="517"/>
      <x:c r="L84" s="517"/>
      <x:c r="M84" s="517"/>
      <x:c r="N84" s="514"/>
      <x:c r="O84" s="514"/>
      <x:c r="P84" s="514"/>
      <x:c r="Q84" s="514"/>
      <x:c r="R84" s="515" t="s">
        <x:v>454</x:v>
      </x:c>
    </x:row>
    <x:row r="85" ht="45">
      <x:c r="A85" s="514"/>
      <x:c r="B85" s="515"/>
      <x:c r="C85" s="785"/>
      <x:c r="D85" s="516" t="s">
        <x:v>568</x:v>
      </x:c>
      <x:c r="E85" s="429" t="s">
        <x:v>466</x:v>
      </x:c>
      <x:c r="F85" s="514"/>
      <x:c r="G85" s="514"/>
      <x:c r="H85" s="517"/>
      <x:c r="I85" s="432" t="s">
        <x:v>560</x:v>
      </x:c>
      <x:c r="J85" s="517"/>
      <x:c r="K85" s="517"/>
      <x:c r="L85" s="517"/>
      <x:c r="M85" s="517"/>
      <x:c r="N85" s="514"/>
      <x:c r="O85" s="514" t="s">
        <x:v>528</x:v>
      </x:c>
      <x:c r="P85" s="514"/>
      <x:c r="Q85" s="514"/>
      <x:c r="R85" s="515" t="s">
        <x:v>454</x:v>
      </x:c>
    </x:row>
    <x:row r="86" ht="45">
      <x:c r="A86" s="514"/>
      <x:c r="B86" s="515"/>
      <x:c r="C86" s="785"/>
      <x:c r="D86" s="516" t="s">
        <x:v>569</x:v>
      </x:c>
      <x:c r="E86" s="429" t="s">
        <x:v>443</x:v>
      </x:c>
      <x:c r="F86" s="514"/>
      <x:c r="G86" s="514"/>
      <x:c r="H86" s="517"/>
      <x:c r="I86" s="432" t="s">
        <x:v>560</x:v>
      </x:c>
      <x:c r="J86" s="517"/>
      <x:c r="K86" s="517"/>
      <x:c r="L86" s="517"/>
      <x:c r="M86" s="517"/>
      <x:c r="N86" s="514"/>
      <x:c r="O86" s="514"/>
      <x:c r="P86" s="514"/>
      <x:c r="Q86" s="514"/>
      <x:c r="R86" s="515" t="s">
        <x:v>454</x:v>
      </x:c>
    </x:row>
    <x:row r="87" ht="45">
      <x:c r="A87" s="514"/>
      <x:c r="B87" s="515"/>
      <x:c r="C87" s="784"/>
      <x:c r="D87" s="518" t="s">
        <x:v>570</x:v>
      </x:c>
      <x:c r="E87" s="429" t="s">
        <x:v>466</x:v>
      </x:c>
      <x:c r="F87" s="514"/>
      <x:c r="G87" s="514"/>
      <x:c r="H87" s="517"/>
      <x:c r="I87" s="432" t="s">
        <x:v>560</x:v>
      </x:c>
      <x:c r="J87" s="517"/>
      <x:c r="K87" s="517"/>
      <x:c r="L87" s="517"/>
      <x:c r="M87" s="517"/>
      <x:c r="N87" s="514"/>
      <x:c r="O87" s="514" t="s">
        <x:v>528</x:v>
      </x:c>
      <x:c r="P87" s="514"/>
      <x:c r="Q87" s="514"/>
      <x:c r="R87" s="515" t="s">
        <x:v>454</x:v>
      </x:c>
    </x:row>
    <x:row r="88">
      <x:c r="E88" s="419"/>
      <x:c r="F88" s="417"/>
      <x:c r="H88" s="416"/>
    </x:row>
    <x:row r="89">
      <x:c r="E89" s="419"/>
      <x:c r="F89" s="417"/>
      <x:c r="H89" s="416"/>
    </x:row>
    <x:row r="90">
      <x:c r="E90" s="419"/>
      <x:c r="F90" s="417"/>
      <x:c r="H90" s="416"/>
    </x:row>
    <x:row r="91" ht="15" customHeight="1">
      <x:c r="B91" s="789" t="s">
        <x:v>571</x:v>
      </x:c>
      <x:c r="C91" s="789"/>
      <x:c r="D91" s="789"/>
      <x:c r="E91" s="789"/>
      <x:c r="F91" s="519"/>
      <x:c r="G91" s="519"/>
      <x:c r="H91" s="519"/>
      <x:c r="I91" s="519"/>
    </x:row>
    <x:row r="92" s="523" customFormat="1" ht="16.350000381469727" customHeight="1">
      <x:c r="A92" s="419"/>
      <x:c r="B92" s="790" t="s">
        <x:v>84</x:v>
      </x:c>
      <x:c r="C92" s="790"/>
      <x:c r="D92" s="520" t="s">
        <x:v>572</x:v>
      </x:c>
      <x:c r="E92" s="521"/>
      <x:c r="F92" s="419"/>
      <x:c r="G92" s="419"/>
      <x:c r="H92" s="419"/>
      <x:c r="I92" s="419"/>
      <x:c r="J92" s="522"/>
      <x:c r="R92" t="s">
        <x:v>454</x:v>
      </x:c>
    </x:row>
    <x:row r="93" s="523" customFormat="1" ht="15.399999618530273">
      <x:c r="A93" s="419"/>
      <x:c r="B93" s="465"/>
      <x:c r="C93" s="465"/>
      <x:c r="D93" s="524" t="s">
        <x:v>573</x:v>
      </x:c>
      <x:c r="E93" s="525" t="n">
        <x:f>L7</x:f>
        <x:v>0</x:v>
      </x:c>
      <x:c r="F93" s="419"/>
      <x:c r="G93" s="419"/>
      <x:c r="H93" s="419"/>
      <x:c r="I93" s="419"/>
      <x:c r="J93" s="522"/>
      <x:c r="R93" t="s">
        <x:v>454</x:v>
      </x:c>
    </x:row>
    <x:row r="94" s="523" customFormat="1" ht="7.699999809265137" customHeight="1">
      <x:c r="A94" s="419"/>
      <x:c r="B94" s="465"/>
      <x:c r="C94" s="465"/>
      <x:c r="D94" s="524" t="s">
        <x:v>574</x:v>
      </x:c>
      <x:c r="E94" s="525" t="n">
        <x:f>L9+L10+L11</x:f>
        <x:v>0</x:v>
      </x:c>
      <x:c r="F94" s="419"/>
      <x:c r="G94" s="419"/>
      <x:c r="H94" s="419"/>
      <x:c r="I94" s="419"/>
      <x:c r="J94" s="522"/>
      <x:c r="R94" t="s">
        <x:v>454</x:v>
      </x:c>
    </x:row>
    <x:row r="95" s="523" customFormat="1" ht="7.699999809265137" customHeight="1">
      <x:c r="A95" s="419"/>
      <x:c r="B95" s="465"/>
      <x:c r="C95" s="465"/>
      <x:c r="D95" s="524" t="s">
        <x:v>575</x:v>
      </x:c>
      <x:c r="E95" s="525" t="n">
        <x:f>L35+L36+L37+L38+L39+L40+L41+L57</x:f>
        <x:v>1</x:v>
      </x:c>
      <x:c r="F95" s="419"/>
      <x:c r="G95" s="419"/>
      <x:c r="H95" s="419"/>
      <x:c r="I95" s="419"/>
      <x:c r="J95" s="522"/>
      <x:c r="R95" t="s">
        <x:v>454</x:v>
      </x:c>
    </x:row>
    <x:row r="96" s="523" customFormat="1" ht="15.399999618530273">
      <x:c r="A96" s="419"/>
      <x:c r="B96" s="465"/>
      <x:c r="C96" s="465"/>
      <x:c r="D96" s="524" t="s">
        <x:v>576</x:v>
      </x:c>
      <x:c r="E96" s="525" t="n">
        <x:f>L24+L25+L26+L27+L28+L29+L30+L31+L32+L33+L34</x:f>
        <x:v>5</x:v>
      </x:c>
      <x:c r="F96" s="419"/>
      <x:c r="G96" s="419"/>
      <x:c r="H96" s="419"/>
      <x:c r="I96" s="419"/>
      <x:c r="J96" s="522"/>
      <x:c r="R96" t="s">
        <x:v>454</x:v>
      </x:c>
    </x:row>
    <x:row r="97" s="523" customFormat="1" ht="15.399999618530273">
      <x:c r="A97" s="419"/>
      <x:c r="B97" s="465"/>
      <x:c r="C97" s="465"/>
      <x:c r="D97" s="524" t="s">
        <x:v>129</x:v>
      </x:c>
      <x:c r="E97" s="525" t="n">
        <x:f>L13+L14+L15+L16+L58</x:f>
        <x:v>0</x:v>
      </x:c>
      <x:c r="F97" s="419"/>
      <x:c r="G97" s="419"/>
      <x:c r="H97" s="419"/>
      <x:c r="I97" s="419"/>
      <x:c r="J97" s="522"/>
      <x:c r="R97" t="s">
        <x:v>454</x:v>
      </x:c>
    </x:row>
    <x:row r="98" s="523" customFormat="1" ht="7.699999809265137" customHeight="1">
      <x:c r="A98" s="419"/>
      <x:c r="B98" s="465"/>
      <x:c r="C98" s="465"/>
      <x:c r="D98" s="524" t="s">
        <x:v>527</x:v>
      </x:c>
      <x:c r="E98" s="525" t="n">
        <x:f>L52+L53+L54+L55+L56</x:f>
        <x:v>1</x:v>
      </x:c>
      <x:c r="F98" s="419"/>
      <x:c r="G98" s="419"/>
      <x:c r="H98" s="419"/>
      <x:c r="I98" s="419"/>
      <x:c r="J98" s="522"/>
      <x:c r="R98" t="s">
        <x:v>454</x:v>
      </x:c>
    </x:row>
    <x:row r="99" s="531" customFormat="1" ht="46.150001525878906">
      <x:c r="A99" s="526"/>
      <x:c r="B99" s="527"/>
      <x:c r="C99" s="527"/>
      <x:c r="D99" s="528" t="s">
        <x:v>122</x:v>
      </x:c>
      <x:c r="E99" s="529" t="n">
        <x:f>L49+L50+L51</x:f>
        <x:v>0</x:v>
      </x:c>
      <x:c r="F99" s="526"/>
      <x:c r="G99" s="526"/>
      <x:c r="H99" s="526"/>
      <x:c r="I99" s="526"/>
      <x:c r="J99" s="530"/>
      <x:c r="R99" t="s">
        <x:v>454</x:v>
      </x:c>
    </x:row>
    <x:row r="100" s="523" customFormat="1" ht="30.75">
      <x:c r="A100" s="419"/>
      <x:c r="B100" s="484"/>
      <x:c r="C100" s="484"/>
      <x:c r="D100" s="532" t="s">
        <x:v>577</x:v>
      </x:c>
      <x:c r="E100" s="533"/>
      <x:c r="F100" s="419"/>
      <x:c r="G100" s="419"/>
      <x:c r="H100" s="419"/>
      <x:c r="I100" s="419"/>
      <x:c r="J100" s="522"/>
      <x:c r="R100" t="s">
        <x:v>454</x:v>
      </x:c>
    </x:row>
    <x:row r="101" s="523" customFormat="1" ht="15.399999618530273">
      <x:c r="A101" s="419"/>
      <x:c r="B101" s="465"/>
      <x:c r="C101" s="465"/>
      <x:c r="D101" s="524" t="s">
        <x:v>578</x:v>
      </x:c>
      <x:c r="E101" s="525" t="n">
        <x:f>L42+L43</x:f>
        <x:v>0</x:v>
      </x:c>
      <x:c r="F101" s="419"/>
      <x:c r="G101" s="419"/>
      <x:c r="H101" s="419"/>
      <x:c r="I101" s="419"/>
      <x:c r="J101" s="522"/>
      <x:c r="R101" t="s">
        <x:v>454</x:v>
      </x:c>
    </x:row>
    <x:row r="102" s="523" customFormat="1" ht="15.399999618530273">
      <x:c r="A102" s="419"/>
      <x:c r="B102" s="465"/>
      <x:c r="C102" s="465"/>
      <x:c r="D102" s="524" t="s">
        <x:v>513</x:v>
      </x:c>
      <x:c r="E102" s="525" t="n">
        <x:f>L18+L19+L20+L21+L22+L44</x:f>
        <x:v>0</x:v>
      </x:c>
      <x:c r="F102" s="419"/>
      <x:c r="G102" s="419"/>
      <x:c r="H102" s="419"/>
      <x:c r="I102" s="419"/>
      <x:c r="J102" s="522"/>
      <x:c r="R102" t="s">
        <x:v>454</x:v>
      </x:c>
    </x:row>
    <x:row r="103" s="523" customFormat="1">
      <x:c r="A103" s="419"/>
      <x:c r="B103" s="465"/>
      <x:c r="C103" s="465"/>
      <x:c r="D103" s="465"/>
      <x:c r="E103" s="525"/>
      <x:c r="F103" s="419"/>
      <x:c r="G103" s="419"/>
      <x:c r="H103" s="419"/>
      <x:c r="I103" s="419"/>
      <x:c r="J103" s="522"/>
    </x:row>
    <x:row r="104" s="523" customFormat="1" ht="76.9000015258789">
      <x:c r="A104" s="419"/>
      <x:c r="B104" s="534" t="s">
        <x:v>67</x:v>
      </x:c>
      <x:c r="C104" s="535"/>
      <x:c r="D104" s="536" t="s">
        <x:v>579</x:v>
      </x:c>
      <x:c r="E104" s="521"/>
      <x:c r="F104" s="419"/>
      <x:c r="G104" s="419"/>
      <x:c r="H104" s="419"/>
      <x:c r="I104" s="419"/>
      <x:c r="J104" s="522"/>
      <x:c r="R104" t="s">
        <x:v>454</x:v>
      </x:c>
    </x:row>
    <x:row r="105" s="523" customFormat="1" ht="30.75">
      <x:c r="A105" s="419"/>
      <x:c r="B105" s="537"/>
      <x:c r="C105" s="465"/>
      <x:c r="D105" s="538" t="s">
        <x:v>216</x:v>
      </x:c>
      <x:c r="E105" s="525" t="n">
        <x:f>L45+L59+L60+L61+L62+L63+L64+L65+L66+L67+L68+L69+L73</x:f>
        <x:v>37</x:v>
      </x:c>
      <x:c r="I105" s="419"/>
      <x:c r="J105" s="419"/>
      <x:c r="K105" s="419"/>
      <x:c r="L105" s="419"/>
      <x:c r="M105" s="522"/>
      <x:c r="R105" t="s">
        <x:v>454</x:v>
      </x:c>
    </x:row>
    <x:row r="106" s="531" customFormat="1" ht="30.75">
      <x:c r="A106" s="526"/>
      <x:c r="B106" s="539"/>
      <x:c r="C106" s="527"/>
      <x:c r="D106" s="540" t="s">
        <x:v>217</x:v>
      </x:c>
      <x:c r="E106" s="529" t="n">
        <x:f>L46+L47</x:f>
        <x:v>0</x:v>
      </x:c>
      <x:c r="I106" s="526"/>
      <x:c r="J106" s="526"/>
      <x:c r="K106" s="526"/>
      <x:c r="L106" s="526"/>
      <x:c r="M106" s="530"/>
      <x:c r="R106" t="s">
        <x:v>454</x:v>
      </x:c>
    </x:row>
    <x:row r="107" s="531" customFormat="1" ht="30.75">
      <x:c r="A107" s="526"/>
      <x:c r="B107" s="539"/>
      <x:c r="C107" s="527"/>
      <x:c r="D107" s="540" t="s">
        <x:v>218</x:v>
      </x:c>
      <x:c r="E107" s="529" t="n">
        <x:f>L70+L71+L72</x:f>
        <x:v>0</x:v>
      </x:c>
      <x:c r="I107" s="526"/>
      <x:c r="J107" s="526"/>
      <x:c r="K107" s="526"/>
      <x:c r="L107" s="526"/>
      <x:c r="M107" s="530"/>
      <x:c r="R107" t="s">
        <x:v>454</x:v>
      </x:c>
    </x:row>
    <x:row r="108" s="523" customFormat="1">
      <x:c r="A108" s="419"/>
      <x:c r="B108" s="522"/>
      <x:c r="C108" s="419"/>
      <x:c r="D108" s="522"/>
      <x:c r="E108" s="419"/>
      <x:c r="F108" s="419"/>
      <x:c r="G108" s="419"/>
      <x:c r="K108" s="419"/>
      <x:c r="L108" s="419"/>
      <x:c r="M108" s="419"/>
      <x:c r="N108" s="419"/>
      <x:c r="O108" s="522"/>
    </x:row>
    <x:row r="109">
      <x:c r="E109" s="419"/>
      <x:c r="F109" s="417"/>
      <x:c r="H109" s="416"/>
      <x:c r="K109" s="417"/>
      <x:c r="L109" s="417"/>
      <x:c r="M109" s="417"/>
      <x:c r="O109" s="415"/>
      <x:c r="P109" s="416"/>
      <x:c r="Q109" s="416"/>
      <x:c r="R109" s="416"/>
    </x:row>
    <x:row r="110">
      <x:c r="E110" s="419"/>
      <x:c r="F110" s="417"/>
      <x:c r="H110" s="416"/>
    </x:row>
    <x:row r="111">
      <x:c r="E111" s="419"/>
      <x:c r="F111" s="417"/>
      <x:c r="H111" s="416"/>
    </x:row>
    <x:row r="112">
      <x:c r="E112" s="419"/>
      <x:c r="F112" s="417"/>
      <x:c r="H112" s="416"/>
    </x:row>
    <x:row r="113">
      <x:c r="E113" s="419"/>
      <x:c r="F113" s="417"/>
      <x:c r="H113" s="416"/>
    </x:row>
    <x:row r="114">
      <x:c r="E114" s="419"/>
      <x:c r="F114" s="417"/>
      <x:c r="H114" s="416"/>
    </x:row>
    <x:row r="115">
      <x:c r="E115" s="419"/>
      <x:c r="F115" s="417"/>
      <x:c r="H115" s="416"/>
    </x:row>
    <x:row r="116">
      <x:c r="E116" s="419"/>
      <x:c r="F116" s="417"/>
      <x:c r="H116" s="416"/>
    </x:row>
    <x:row r="117">
      <x:c r="E117" s="419"/>
      <x:c r="F117" s="417"/>
      <x:c r="H117" s="416"/>
    </x:row>
    <x:row r="118">
      <x:c r="E118" s="419"/>
      <x:c r="F118" s="417"/>
      <x:c r="H118" s="416"/>
    </x:row>
    <x:row r="119">
      <x:c r="E119" s="419"/>
      <x:c r="F119" s="417"/>
      <x:c r="H119" s="416"/>
    </x:row>
    <x:row r="120">
      <x:c r="E120" s="419"/>
      <x:c r="F120" s="417"/>
      <x:c r="H120" s="416"/>
    </x:row>
    <x:row r="121">
      <x:c r="E121" s="419"/>
      <x:c r="F121" s="417"/>
      <x:c r="H121" s="416"/>
    </x:row>
    <x:row r="122">
      <x:c r="E122" s="419"/>
      <x:c r="F122" s="417"/>
      <x:c r="H122" s="416"/>
    </x:row>
    <x:row r="123">
      <x:c r="E123" s="419"/>
      <x:c r="F123" s="417"/>
      <x:c r="H123" s="416"/>
    </x:row>
    <x:row r="124">
      <x:c r="E124" s="419"/>
      <x:c r="F124" s="417"/>
      <x:c r="H124" s="416"/>
    </x:row>
    <x:row r="125">
      <x:c r="E125" s="419"/>
      <x:c r="F125" s="417"/>
      <x:c r="H125" s="416"/>
    </x:row>
    <x:row r="126">
      <x:c r="E126" s="419"/>
      <x:c r="F126" s="417"/>
      <x:c r="H126" s="416"/>
    </x:row>
    <x:row r="127">
      <x:c r="E127" s="419"/>
      <x:c r="F127" s="417"/>
      <x:c r="H127" s="416"/>
    </x:row>
    <x:row r="128">
      <x:c r="E128" s="419"/>
      <x:c r="F128" s="417"/>
      <x:c r="H128" s="416"/>
    </x:row>
    <x:row r="129">
      <x:c r="E129" s="419"/>
      <x:c r="F129" s="417"/>
      <x:c r="H129" s="416"/>
    </x:row>
    <x:row r="130">
      <x:c r="E130" s="419"/>
      <x:c r="F130" s="417"/>
      <x:c r="H130" s="416"/>
    </x:row>
    <x:row r="131">
      <x:c r="E131" s="419"/>
      <x:c r="F131" s="417"/>
      <x:c r="H131" s="416"/>
    </x:row>
    <x:row r="132">
      <x:c r="E132" s="419"/>
      <x:c r="F132" s="417"/>
      <x:c r="H132" s="416"/>
    </x:row>
    <x:row r="133">
      <x:c r="E133" s="419"/>
      <x:c r="F133" s="417"/>
      <x:c r="H133" s="416"/>
    </x:row>
    <x:row r="134">
      <x:c r="E134" s="419"/>
      <x:c r="F134" s="417"/>
      <x:c r="H134" s="416"/>
    </x:row>
    <x:row r="135">
      <x:c r="E135" s="419"/>
      <x:c r="F135" s="417"/>
      <x:c r="H135" s="416"/>
    </x:row>
    <x:row r="136">
      <x:c r="E136" s="419"/>
      <x:c r="F136" s="417"/>
      <x:c r="H136" s="416"/>
    </x:row>
    <x:row r="137">
      <x:c r="E137" s="419"/>
      <x:c r="F137" s="417"/>
      <x:c r="H137" s="416"/>
    </x:row>
    <x:row r="138">
      <x:c r="E138" s="419"/>
      <x:c r="F138" s="417"/>
      <x:c r="H138" s="416"/>
    </x:row>
    <x:row r="139">
      <x:c r="E139" s="419"/>
      <x:c r="F139" s="417"/>
      <x:c r="H139" s="416"/>
    </x:row>
    <x:row r="140">
      <x:c r="E140" s="419"/>
      <x:c r="F140" s="417"/>
      <x:c r="H140" s="416"/>
    </x:row>
    <x:row r="141">
      <x:c r="E141" s="419"/>
      <x:c r="F141" s="417"/>
      <x:c r="H141" s="416"/>
    </x:row>
    <x:row r="142">
      <x:c r="E142" s="419"/>
      <x:c r="F142" s="417"/>
      <x:c r="H142" s="416"/>
    </x:row>
    <x:row r="143">
      <x:c r="E143" s="419"/>
      <x:c r="F143" s="417"/>
      <x:c r="H143" s="416"/>
    </x:row>
    <x:row r="144">
      <x:c r="E144" s="419"/>
      <x:c r="F144" s="417"/>
      <x:c r="H144" s="416"/>
    </x:row>
    <x:row r="145">
      <x:c r="E145" s="419"/>
      <x:c r="F145" s="417"/>
      <x:c r="H145" s="416"/>
    </x:row>
    <x:row r="146">
      <x:c r="E146" s="419"/>
      <x:c r="F146" s="417"/>
      <x:c r="H146" s="416"/>
    </x:row>
    <x:row r="147">
      <x:c r="E147" s="419"/>
      <x:c r="F147" s="417"/>
      <x:c r="H147" s="416"/>
    </x:row>
    <x:row r="148">
      <x:c r="E148" s="419"/>
      <x:c r="F148" s="417"/>
      <x:c r="H148" s="416"/>
    </x:row>
    <x:row r="149">
      <x:c r="E149" s="419"/>
      <x:c r="F149" s="417"/>
      <x:c r="H149" s="416"/>
    </x:row>
    <x:row r="150">
      <x:c r="E150" s="419"/>
      <x:c r="F150" s="417"/>
      <x:c r="H150" s="416"/>
    </x:row>
    <x:row r="151">
      <x:c r="E151" s="419"/>
      <x:c r="F151" s="417"/>
      <x:c r="H151" s="416"/>
    </x:row>
    <x:row r="152">
      <x:c r="E152" s="419"/>
      <x:c r="F152" s="417"/>
      <x:c r="H152" s="416"/>
    </x:row>
    <x:row r="153">
      <x:c r="E153" s="419"/>
      <x:c r="F153" s="417"/>
      <x:c r="H153" s="416"/>
    </x:row>
    <x:row r="154">
      <x:c r="E154" s="419"/>
      <x:c r="F154" s="417"/>
      <x:c r="H154" s="416"/>
    </x:row>
    <x:row r="155">
      <x:c r="E155" s="419"/>
      <x:c r="F155" s="417"/>
      <x:c r="H155" s="416"/>
    </x:row>
    <x:row r="156">
      <x:c r="E156" s="419"/>
      <x:c r="F156" s="417"/>
      <x:c r="H156" s="416"/>
    </x:row>
    <x:row r="157">
      <x:c r="E157" s="419"/>
      <x:c r="F157" s="417"/>
      <x:c r="H157" s="416"/>
    </x:row>
    <x:row r="158">
      <x:c r="E158" s="419"/>
      <x:c r="F158" s="417"/>
      <x:c r="H158" s="416"/>
    </x:row>
    <x:row r="159">
      <x:c r="E159" s="419"/>
      <x:c r="F159" s="417"/>
      <x:c r="H159" s="416"/>
    </x:row>
    <x:row r="160">
      <x:c r="E160" s="419"/>
      <x:c r="F160" s="417"/>
      <x:c r="H160" s="416"/>
    </x:row>
    <x:row r="161">
      <x:c r="E161" s="419"/>
      <x:c r="F161" s="417"/>
      <x:c r="H161" s="416"/>
    </x:row>
    <x:row r="162">
      <x:c r="E162" s="419"/>
      <x:c r="F162" s="417"/>
      <x:c r="H162" s="416"/>
    </x:row>
    <x:row r="163">
      <x:c r="E163" s="419"/>
      <x:c r="F163" s="417"/>
      <x:c r="H163" s="416"/>
    </x:row>
    <x:row r="164">
      <x:c r="E164" s="419"/>
      <x:c r="F164" s="417"/>
      <x:c r="H164" s="416"/>
    </x:row>
    <x:row r="165">
      <x:c r="E165" s="419"/>
      <x:c r="F165" s="417"/>
      <x:c r="H165" s="416"/>
    </x:row>
    <x:row r="166">
      <x:c r="E166" s="419"/>
      <x:c r="F166" s="417"/>
      <x:c r="H166" s="416"/>
    </x:row>
    <x:row r="167">
      <x:c r="E167" s="419"/>
      <x:c r="F167" s="417"/>
      <x:c r="H167" s="416"/>
    </x:row>
    <x:row r="168">
      <x:c r="E168" s="419"/>
      <x:c r="F168" s="417"/>
      <x:c r="H168" s="416"/>
    </x:row>
    <x:row r="169">
      <x:c r="E169" s="419"/>
      <x:c r="F169" s="417"/>
      <x:c r="H169" s="416"/>
    </x:row>
    <x:row r="170">
      <x:c r="E170" s="419"/>
      <x:c r="F170" s="417"/>
      <x:c r="H170" s="416"/>
    </x:row>
    <x:row r="171">
      <x:c r="E171" s="419"/>
      <x:c r="F171" s="417"/>
      <x:c r="H171" s="416"/>
    </x:row>
    <x:row r="172">
      <x:c r="E172" s="419"/>
      <x:c r="F172" s="417"/>
      <x:c r="H172" s="416"/>
    </x:row>
    <x:row r="173">
      <x:c r="E173" s="419"/>
      <x:c r="F173" s="417"/>
      <x:c r="H173" s="416"/>
    </x:row>
    <x:row r="174">
      <x:c r="E174" s="419"/>
      <x:c r="F174" s="417"/>
      <x:c r="H174" s="416"/>
    </x:row>
    <x:row r="175">
      <x:c r="E175" s="419"/>
      <x:c r="F175" s="417"/>
      <x:c r="H175" s="416"/>
    </x:row>
    <x:row r="176">
      <x:c r="E176" s="419"/>
      <x:c r="F176" s="417"/>
      <x:c r="H176" s="416"/>
    </x:row>
    <x:row r="177">
      <x:c r="E177" s="419"/>
      <x:c r="F177" s="417"/>
      <x:c r="H177" s="416"/>
    </x:row>
    <x:row r="178">
      <x:c r="E178" s="419"/>
      <x:c r="F178" s="417"/>
      <x:c r="H178" s="416"/>
    </x:row>
    <x:row r="179">
      <x:c r="E179" s="419"/>
      <x:c r="F179" s="417"/>
      <x:c r="H179" s="416"/>
    </x:row>
    <x:row r="180">
      <x:c r="E180" s="419"/>
      <x:c r="F180" s="417"/>
      <x:c r="H180" s="416"/>
    </x:row>
    <x:row r="181">
      <x:c r="E181" s="419"/>
      <x:c r="F181" s="417"/>
      <x:c r="H181" s="416"/>
    </x:row>
    <x:row r="182">
      <x:c r="E182" s="419"/>
      <x:c r="F182" s="417"/>
      <x:c r="H182" s="416"/>
    </x:row>
    <x:row r="183">
      <x:c r="E183" s="419"/>
      <x:c r="F183" s="417"/>
      <x:c r="H183" s="416"/>
    </x:row>
    <x:row r="184">
      <x:c r="E184" s="419"/>
      <x:c r="F184" s="417"/>
      <x:c r="H184" s="416"/>
    </x:row>
    <x:row r="185">
      <x:c r="E185" s="419"/>
      <x:c r="F185" s="417"/>
      <x:c r="H185" s="416"/>
    </x:row>
    <x:row r="186">
      <x:c r="E186" s="419"/>
      <x:c r="F186" s="417"/>
      <x:c r="H186" s="416"/>
    </x:row>
    <x:row r="187">
      <x:c r="E187" s="419"/>
      <x:c r="F187" s="417"/>
      <x:c r="H187" s="416"/>
    </x:row>
    <x:row r="188">
      <x:c r="E188" s="419"/>
      <x:c r="F188" s="417"/>
      <x:c r="H188" s="416"/>
    </x:row>
    <x:row r="189">
      <x:c r="E189" s="419"/>
      <x:c r="F189" s="417"/>
      <x:c r="H189" s="416"/>
    </x:row>
    <x:row r="190">
      <x:c r="E190" s="419"/>
      <x:c r="F190" s="417"/>
      <x:c r="H190" s="416"/>
    </x:row>
    <x:row r="191">
      <x:c r="E191" s="419"/>
      <x:c r="F191" s="417"/>
      <x:c r="H191" s="416"/>
    </x:row>
    <x:row r="192">
      <x:c r="E192" s="419"/>
      <x:c r="F192" s="417"/>
      <x:c r="H192" s="416"/>
    </x:row>
    <x:row r="193">
      <x:c r="E193" s="419"/>
      <x:c r="F193" s="417"/>
      <x:c r="H193" s="416"/>
    </x:row>
    <x:row r="194">
      <x:c r="E194" s="419"/>
      <x:c r="F194" s="417"/>
      <x:c r="H194" s="416"/>
    </x:row>
    <x:row r="195">
      <x:c r="E195" s="419"/>
      <x:c r="F195" s="417"/>
      <x:c r="H195" s="416"/>
    </x:row>
    <x:row r="196">
      <x:c r="E196" s="419"/>
      <x:c r="F196" s="417"/>
      <x:c r="H196" s="416"/>
    </x:row>
    <x:row r="197">
      <x:c r="E197" s="419"/>
      <x:c r="F197" s="417"/>
      <x:c r="H197" s="416"/>
    </x:row>
    <x:row r="198">
      <x:c r="E198" s="419"/>
      <x:c r="F198" s="417"/>
      <x:c r="H198" s="416"/>
    </x:row>
    <x:row r="199">
      <x:c r="E199" s="419"/>
      <x:c r="F199" s="417"/>
      <x:c r="H199" s="416"/>
    </x:row>
    <x:row r="200">
      <x:c r="E200" s="419"/>
      <x:c r="F200" s="417"/>
      <x:c r="H200" s="416"/>
    </x:row>
    <x:row r="201">
      <x:c r="E201" s="419"/>
      <x:c r="F201" s="417"/>
      <x:c r="H201" s="416"/>
    </x:row>
    <x:row r="202">
      <x:c r="E202" s="419"/>
      <x:c r="F202" s="417"/>
      <x:c r="H202" s="416"/>
    </x:row>
    <x:row r="203">
      <x:c r="E203" s="419"/>
      <x:c r="F203" s="417"/>
      <x:c r="H203" s="416"/>
    </x:row>
    <x:row r="204">
      <x:c r="E204" s="419"/>
      <x:c r="F204" s="417"/>
      <x:c r="H204" s="416"/>
    </x:row>
    <x:row r="205">
      <x:c r="E205" s="419"/>
      <x:c r="F205" s="417"/>
      <x:c r="H205" s="416"/>
    </x:row>
    <x:row r="206">
      <x:c r="E206" s="419"/>
      <x:c r="F206" s="417"/>
      <x:c r="H206" s="416"/>
    </x:row>
    <x:row r="207">
      <x:c r="E207" s="419"/>
      <x:c r="F207" s="417"/>
      <x:c r="H207" s="416"/>
    </x:row>
    <x:row r="208">
      <x:c r="E208" s="419"/>
      <x:c r="F208" s="417"/>
      <x:c r="H208" s="416"/>
    </x:row>
    <x:row r="209">
      <x:c r="E209" s="419"/>
      <x:c r="F209" s="417"/>
      <x:c r="H209" s="416"/>
    </x:row>
    <x:row r="210">
      <x:c r="E210" s="419"/>
      <x:c r="F210" s="417"/>
      <x:c r="H210" s="416"/>
    </x:row>
    <x:row r="211">
      <x:c r="E211" s="419"/>
      <x:c r="F211" s="417"/>
      <x:c r="H211" s="416"/>
    </x:row>
    <x:row r="212">
      <x:c r="E212" s="419"/>
      <x:c r="F212" s="417"/>
      <x:c r="H212" s="416"/>
    </x:row>
  </x:sheetData>
  <x:mergeCells>
    <x:mergeCell ref="C77:C87"/>
    <x:mergeCell ref="B91:E91"/>
    <x:mergeCell ref="B92:C92"/>
    <x:mergeCell ref="C49:C50"/>
    <x:mergeCell ref="J49:J50"/>
    <x:mergeCell ref="K49:K50"/>
    <x:mergeCell ref="C59:C60"/>
    <x:mergeCell ref="J59:J60"/>
    <x:mergeCell ref="K59:K60"/>
    <x:mergeCell ref="C38:C41"/>
    <x:mergeCell ref="J38:J41"/>
    <x:mergeCell ref="K38:K41"/>
    <x:mergeCell ref="C42:C43"/>
    <x:mergeCell ref="J42:J43"/>
    <x:mergeCell ref="K42:K43"/>
    <x:mergeCell ref="N4:Q4"/>
    <x:mergeCell ref="R4:R5"/>
    <x:mergeCell ref="C6:D6"/>
    <x:mergeCell ref="J6:K6"/>
    <x:mergeCell ref="L6:M6"/>
    <x:mergeCell ref="A1:M1"/>
    <x:mergeCell ref="A2:M2"/>
    <x:mergeCell ref="A4:A5"/>
    <x:mergeCell ref="B4:B5"/>
    <x:mergeCell ref="C4:D5"/>
    <x:mergeCell ref="E4:E5"/>
    <x:mergeCell ref="F4:F5"/>
    <x:mergeCell ref="G4:G5"/>
    <x:mergeCell ref="H4:H5"/>
    <x:mergeCell ref="I4:I5"/>
    <x:mergeCell ref="J4:K5"/>
    <x:mergeCell ref="L4:M5"/>
  </x:mergeCells>
  <x:dataValidations count="1">
    <x:dataValidation type="list" allowBlank="1" showInputMessage="1" showErrorMessage="1" sqref="E7 E9:E11 E13:E87">
      <x:formula1>"Sudah,Sedang Berjalan,Belum"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92D050"/>
  </x:sheetPr>
  <x:sheetFormatPr defaultRowHeight="15"/>
  <x:cols>
    <x:col min="1" max="1" width="6.6640625" style="542" customWidth="1"/>
    <x:col min="2" max="2" width="56.796875" style="542" customWidth="1"/>
    <x:col min="3" max="3" width="23.73046875" style="542" customWidth="1"/>
    <x:col min="4" max="4" width="12.796875" style="542" customWidth="1"/>
    <x:col min="5" max="5" width="12.265625" style="542" customWidth="1"/>
    <x:col min="6" max="6" width="13.73046875" style="542" customWidth="1"/>
    <x:col min="7" max="7" width="23.86328125" style="542" customWidth="1"/>
    <x:col min="8" max="8" width="19.06640625" style="542" customWidth="1"/>
    <x:col min="9" max="9" width="18.265625" style="542" customWidth="1"/>
    <x:col min="10" max="10" width="20.796875" style="542" customWidth="1"/>
    <x:col min="11" max="11" width="32.1328125" style="542" customWidth="1"/>
    <x:col min="12" max="256" width="9.06640625" style="542" customWidth="0"/>
    <x:col min="257" max="257" width="6.6640625" style="542" customWidth="1"/>
    <x:col min="258" max="258" width="56.796875" style="542" customWidth="1"/>
    <x:col min="259" max="259" width="23.73046875" style="542" customWidth="1"/>
    <x:col min="260" max="260" width="12.796875" style="542" customWidth="1"/>
    <x:col min="261" max="261" width="12.265625" style="542" customWidth="1"/>
    <x:col min="262" max="262" width="13.73046875" style="542" customWidth="1"/>
    <x:col min="263" max="263" width="23.86328125" style="542" customWidth="1"/>
    <x:col min="264" max="264" width="19.06640625" style="542" customWidth="1"/>
    <x:col min="265" max="265" width="18.265625" style="542" customWidth="1"/>
    <x:col min="266" max="266" width="20.796875" style="542" customWidth="1"/>
    <x:col min="267" max="267" width="32.1328125" style="542" customWidth="1"/>
    <x:col min="268" max="512" width="9.06640625" style="542" customWidth="0"/>
    <x:col min="513" max="513" width="6.6640625" style="542" customWidth="1"/>
    <x:col min="514" max="514" width="56.796875" style="542" customWidth="1"/>
    <x:col min="515" max="515" width="23.73046875" style="542" customWidth="1"/>
    <x:col min="516" max="516" width="12.796875" style="542" customWidth="1"/>
    <x:col min="517" max="517" width="12.265625" style="542" customWidth="1"/>
    <x:col min="518" max="518" width="13.73046875" style="542" customWidth="1"/>
    <x:col min="519" max="519" width="23.86328125" style="542" customWidth="1"/>
    <x:col min="520" max="520" width="19.06640625" style="542" customWidth="1"/>
    <x:col min="521" max="521" width="18.265625" style="542" customWidth="1"/>
    <x:col min="522" max="522" width="20.796875" style="542" customWidth="1"/>
    <x:col min="523" max="523" width="32.1328125" style="542" customWidth="1"/>
    <x:col min="524" max="768" width="9.06640625" style="542" customWidth="0"/>
    <x:col min="769" max="769" width="6.6640625" style="542" customWidth="1"/>
    <x:col min="770" max="770" width="56.796875" style="542" customWidth="1"/>
    <x:col min="771" max="771" width="23.73046875" style="542" customWidth="1"/>
    <x:col min="772" max="772" width="12.796875" style="542" customWidth="1"/>
    <x:col min="773" max="773" width="12.265625" style="542" customWidth="1"/>
    <x:col min="774" max="774" width="13.73046875" style="542" customWidth="1"/>
    <x:col min="775" max="775" width="23.86328125" style="542" customWidth="1"/>
    <x:col min="776" max="776" width="19.06640625" style="542" customWidth="1"/>
    <x:col min="777" max="777" width="18.265625" style="542" customWidth="1"/>
    <x:col min="778" max="778" width="20.796875" style="542" customWidth="1"/>
    <x:col min="779" max="779" width="32.1328125" style="542" customWidth="1"/>
    <x:col min="780" max="1024" width="9.06640625" style="542" customWidth="0"/>
    <x:col min="1025" max="1025" width="6.6640625" style="542" customWidth="1"/>
    <x:col min="1026" max="1026" width="56.796875" style="542" customWidth="1"/>
    <x:col min="1027" max="1027" width="23.73046875" style="542" customWidth="1"/>
    <x:col min="1028" max="1028" width="12.796875" style="542" customWidth="1"/>
    <x:col min="1029" max="1029" width="12.265625" style="542" customWidth="1"/>
    <x:col min="1030" max="1030" width="13.73046875" style="542" customWidth="1"/>
    <x:col min="1031" max="1031" width="23.86328125" style="542" customWidth="1"/>
    <x:col min="1032" max="1032" width="19.06640625" style="542" customWidth="1"/>
    <x:col min="1033" max="1033" width="18.265625" style="542" customWidth="1"/>
    <x:col min="1034" max="1034" width="20.796875" style="542" customWidth="1"/>
    <x:col min="1035" max="1035" width="32.1328125" style="542" customWidth="1"/>
    <x:col min="1036" max="1280" width="9.06640625" style="542" customWidth="0"/>
    <x:col min="1281" max="1281" width="6.6640625" style="542" customWidth="1"/>
    <x:col min="1282" max="1282" width="56.796875" style="542" customWidth="1"/>
    <x:col min="1283" max="1283" width="23.73046875" style="542" customWidth="1"/>
    <x:col min="1284" max="1284" width="12.796875" style="542" customWidth="1"/>
    <x:col min="1285" max="1285" width="12.265625" style="542" customWidth="1"/>
    <x:col min="1286" max="1286" width="13.73046875" style="542" customWidth="1"/>
    <x:col min="1287" max="1287" width="23.86328125" style="542" customWidth="1"/>
    <x:col min="1288" max="1288" width="19.06640625" style="542" customWidth="1"/>
    <x:col min="1289" max="1289" width="18.265625" style="542" customWidth="1"/>
    <x:col min="1290" max="1290" width="20.796875" style="542" customWidth="1"/>
    <x:col min="1291" max="1291" width="32.1328125" style="542" customWidth="1"/>
    <x:col min="1292" max="1536" width="9.06640625" style="542" customWidth="0"/>
    <x:col min="1537" max="1537" width="6.6640625" style="542" customWidth="1"/>
    <x:col min="1538" max="1538" width="56.796875" style="542" customWidth="1"/>
    <x:col min="1539" max="1539" width="23.73046875" style="542" customWidth="1"/>
    <x:col min="1540" max="1540" width="12.796875" style="542" customWidth="1"/>
    <x:col min="1541" max="1541" width="12.265625" style="542" customWidth="1"/>
    <x:col min="1542" max="1542" width="13.73046875" style="542" customWidth="1"/>
    <x:col min="1543" max="1543" width="23.86328125" style="542" customWidth="1"/>
    <x:col min="1544" max="1544" width="19.06640625" style="542" customWidth="1"/>
    <x:col min="1545" max="1545" width="18.265625" style="542" customWidth="1"/>
    <x:col min="1546" max="1546" width="20.796875" style="542" customWidth="1"/>
    <x:col min="1547" max="1547" width="32.1328125" style="542" customWidth="1"/>
    <x:col min="1548" max="1792" width="9.06640625" style="542" customWidth="0"/>
    <x:col min="1793" max="1793" width="6.6640625" style="542" customWidth="1"/>
    <x:col min="1794" max="1794" width="56.796875" style="542" customWidth="1"/>
    <x:col min="1795" max="1795" width="23.73046875" style="542" customWidth="1"/>
    <x:col min="1796" max="1796" width="12.796875" style="542" customWidth="1"/>
    <x:col min="1797" max="1797" width="12.265625" style="542" customWidth="1"/>
    <x:col min="1798" max="1798" width="13.73046875" style="542" customWidth="1"/>
    <x:col min="1799" max="1799" width="23.86328125" style="542" customWidth="1"/>
    <x:col min="1800" max="1800" width="19.06640625" style="542" customWidth="1"/>
    <x:col min="1801" max="1801" width="18.265625" style="542" customWidth="1"/>
    <x:col min="1802" max="1802" width="20.796875" style="542" customWidth="1"/>
    <x:col min="1803" max="1803" width="32.1328125" style="542" customWidth="1"/>
    <x:col min="1804" max="2048" width="9.06640625" style="542" customWidth="0"/>
    <x:col min="2049" max="2049" width="6.6640625" style="542" customWidth="1"/>
    <x:col min="2050" max="2050" width="56.796875" style="542" customWidth="1"/>
    <x:col min="2051" max="2051" width="23.73046875" style="542" customWidth="1"/>
    <x:col min="2052" max="2052" width="12.796875" style="542" customWidth="1"/>
    <x:col min="2053" max="2053" width="12.265625" style="542" customWidth="1"/>
    <x:col min="2054" max="2054" width="13.73046875" style="542" customWidth="1"/>
    <x:col min="2055" max="2055" width="23.86328125" style="542" customWidth="1"/>
    <x:col min="2056" max="2056" width="19.06640625" style="542" customWidth="1"/>
    <x:col min="2057" max="2057" width="18.265625" style="542" customWidth="1"/>
    <x:col min="2058" max="2058" width="20.796875" style="542" customWidth="1"/>
    <x:col min="2059" max="2059" width="32.1328125" style="542" customWidth="1"/>
    <x:col min="2060" max="2304" width="9.06640625" style="542" customWidth="0"/>
    <x:col min="2305" max="2305" width="6.6640625" style="542" customWidth="1"/>
    <x:col min="2306" max="2306" width="56.796875" style="542" customWidth="1"/>
    <x:col min="2307" max="2307" width="23.73046875" style="542" customWidth="1"/>
    <x:col min="2308" max="2308" width="12.796875" style="542" customWidth="1"/>
    <x:col min="2309" max="2309" width="12.265625" style="542" customWidth="1"/>
    <x:col min="2310" max="2310" width="13.73046875" style="542" customWidth="1"/>
    <x:col min="2311" max="2311" width="23.86328125" style="542" customWidth="1"/>
    <x:col min="2312" max="2312" width="19.06640625" style="542" customWidth="1"/>
    <x:col min="2313" max="2313" width="18.265625" style="542" customWidth="1"/>
    <x:col min="2314" max="2314" width="20.796875" style="542" customWidth="1"/>
    <x:col min="2315" max="2315" width="32.1328125" style="542" customWidth="1"/>
    <x:col min="2316" max="2560" width="9.06640625" style="542" customWidth="0"/>
    <x:col min="2561" max="2561" width="6.6640625" style="542" customWidth="1"/>
    <x:col min="2562" max="2562" width="56.796875" style="542" customWidth="1"/>
    <x:col min="2563" max="2563" width="23.73046875" style="542" customWidth="1"/>
    <x:col min="2564" max="2564" width="12.796875" style="542" customWidth="1"/>
    <x:col min="2565" max="2565" width="12.265625" style="542" customWidth="1"/>
    <x:col min="2566" max="2566" width="13.73046875" style="542" customWidth="1"/>
    <x:col min="2567" max="2567" width="23.86328125" style="542" customWidth="1"/>
    <x:col min="2568" max="2568" width="19.06640625" style="542" customWidth="1"/>
    <x:col min="2569" max="2569" width="18.265625" style="542" customWidth="1"/>
    <x:col min="2570" max="2570" width="20.796875" style="542" customWidth="1"/>
    <x:col min="2571" max="2571" width="32.1328125" style="542" customWidth="1"/>
    <x:col min="2572" max="2816" width="9.06640625" style="542" customWidth="0"/>
    <x:col min="2817" max="2817" width="6.6640625" style="542" customWidth="1"/>
    <x:col min="2818" max="2818" width="56.796875" style="542" customWidth="1"/>
    <x:col min="2819" max="2819" width="23.73046875" style="542" customWidth="1"/>
    <x:col min="2820" max="2820" width="12.796875" style="542" customWidth="1"/>
    <x:col min="2821" max="2821" width="12.265625" style="542" customWidth="1"/>
    <x:col min="2822" max="2822" width="13.73046875" style="542" customWidth="1"/>
    <x:col min="2823" max="2823" width="23.86328125" style="542" customWidth="1"/>
    <x:col min="2824" max="2824" width="19.06640625" style="542" customWidth="1"/>
    <x:col min="2825" max="2825" width="18.265625" style="542" customWidth="1"/>
    <x:col min="2826" max="2826" width="20.796875" style="542" customWidth="1"/>
    <x:col min="2827" max="2827" width="32.1328125" style="542" customWidth="1"/>
    <x:col min="2828" max="3072" width="9.06640625" style="542" customWidth="0"/>
    <x:col min="3073" max="3073" width="6.6640625" style="542" customWidth="1"/>
    <x:col min="3074" max="3074" width="56.796875" style="542" customWidth="1"/>
    <x:col min="3075" max="3075" width="23.73046875" style="542" customWidth="1"/>
    <x:col min="3076" max="3076" width="12.796875" style="542" customWidth="1"/>
    <x:col min="3077" max="3077" width="12.265625" style="542" customWidth="1"/>
    <x:col min="3078" max="3078" width="13.73046875" style="542" customWidth="1"/>
    <x:col min="3079" max="3079" width="23.86328125" style="542" customWidth="1"/>
    <x:col min="3080" max="3080" width="19.06640625" style="542" customWidth="1"/>
    <x:col min="3081" max="3081" width="18.265625" style="542" customWidth="1"/>
    <x:col min="3082" max="3082" width="20.796875" style="542" customWidth="1"/>
    <x:col min="3083" max="3083" width="32.1328125" style="542" customWidth="1"/>
    <x:col min="3084" max="3328" width="9.06640625" style="542" customWidth="0"/>
    <x:col min="3329" max="3329" width="6.6640625" style="542" customWidth="1"/>
    <x:col min="3330" max="3330" width="56.796875" style="542" customWidth="1"/>
    <x:col min="3331" max="3331" width="23.73046875" style="542" customWidth="1"/>
    <x:col min="3332" max="3332" width="12.796875" style="542" customWidth="1"/>
    <x:col min="3333" max="3333" width="12.265625" style="542" customWidth="1"/>
    <x:col min="3334" max="3334" width="13.73046875" style="542" customWidth="1"/>
    <x:col min="3335" max="3335" width="23.86328125" style="542" customWidth="1"/>
    <x:col min="3336" max="3336" width="19.06640625" style="542" customWidth="1"/>
    <x:col min="3337" max="3337" width="18.265625" style="542" customWidth="1"/>
    <x:col min="3338" max="3338" width="20.796875" style="542" customWidth="1"/>
    <x:col min="3339" max="3339" width="32.1328125" style="542" customWidth="1"/>
    <x:col min="3340" max="3584" width="9.06640625" style="542" customWidth="0"/>
    <x:col min="3585" max="3585" width="6.6640625" style="542" customWidth="1"/>
    <x:col min="3586" max="3586" width="56.796875" style="542" customWidth="1"/>
    <x:col min="3587" max="3587" width="23.73046875" style="542" customWidth="1"/>
    <x:col min="3588" max="3588" width="12.796875" style="542" customWidth="1"/>
    <x:col min="3589" max="3589" width="12.265625" style="542" customWidth="1"/>
    <x:col min="3590" max="3590" width="13.73046875" style="542" customWidth="1"/>
    <x:col min="3591" max="3591" width="23.86328125" style="542" customWidth="1"/>
    <x:col min="3592" max="3592" width="19.06640625" style="542" customWidth="1"/>
    <x:col min="3593" max="3593" width="18.265625" style="542" customWidth="1"/>
    <x:col min="3594" max="3594" width="20.796875" style="542" customWidth="1"/>
    <x:col min="3595" max="3595" width="32.1328125" style="542" customWidth="1"/>
    <x:col min="3596" max="3840" width="9.06640625" style="542" customWidth="0"/>
    <x:col min="3841" max="3841" width="6.6640625" style="542" customWidth="1"/>
    <x:col min="3842" max="3842" width="56.796875" style="542" customWidth="1"/>
    <x:col min="3843" max="3843" width="23.73046875" style="542" customWidth="1"/>
    <x:col min="3844" max="3844" width="12.796875" style="542" customWidth="1"/>
    <x:col min="3845" max="3845" width="12.265625" style="542" customWidth="1"/>
    <x:col min="3846" max="3846" width="13.73046875" style="542" customWidth="1"/>
    <x:col min="3847" max="3847" width="23.86328125" style="542" customWidth="1"/>
    <x:col min="3848" max="3848" width="19.06640625" style="542" customWidth="1"/>
    <x:col min="3849" max="3849" width="18.265625" style="542" customWidth="1"/>
    <x:col min="3850" max="3850" width="20.796875" style="542" customWidth="1"/>
    <x:col min="3851" max="3851" width="32.1328125" style="542" customWidth="1"/>
    <x:col min="3852" max="4096" width="9.06640625" style="542" customWidth="0"/>
    <x:col min="4097" max="4097" width="6.6640625" style="542" customWidth="1"/>
    <x:col min="4098" max="4098" width="56.796875" style="542" customWidth="1"/>
    <x:col min="4099" max="4099" width="23.73046875" style="542" customWidth="1"/>
    <x:col min="4100" max="4100" width="12.796875" style="542" customWidth="1"/>
    <x:col min="4101" max="4101" width="12.265625" style="542" customWidth="1"/>
    <x:col min="4102" max="4102" width="13.73046875" style="542" customWidth="1"/>
    <x:col min="4103" max="4103" width="23.86328125" style="542" customWidth="1"/>
    <x:col min="4104" max="4104" width="19.06640625" style="542" customWidth="1"/>
    <x:col min="4105" max="4105" width="18.265625" style="542" customWidth="1"/>
    <x:col min="4106" max="4106" width="20.796875" style="542" customWidth="1"/>
    <x:col min="4107" max="4107" width="32.1328125" style="542" customWidth="1"/>
    <x:col min="4108" max="4352" width="9.06640625" style="542" customWidth="0"/>
    <x:col min="4353" max="4353" width="6.6640625" style="542" customWidth="1"/>
    <x:col min="4354" max="4354" width="56.796875" style="542" customWidth="1"/>
    <x:col min="4355" max="4355" width="23.73046875" style="542" customWidth="1"/>
    <x:col min="4356" max="4356" width="12.796875" style="542" customWidth="1"/>
    <x:col min="4357" max="4357" width="12.265625" style="542" customWidth="1"/>
    <x:col min="4358" max="4358" width="13.73046875" style="542" customWidth="1"/>
    <x:col min="4359" max="4359" width="23.86328125" style="542" customWidth="1"/>
    <x:col min="4360" max="4360" width="19.06640625" style="542" customWidth="1"/>
    <x:col min="4361" max="4361" width="18.265625" style="542" customWidth="1"/>
    <x:col min="4362" max="4362" width="20.796875" style="542" customWidth="1"/>
    <x:col min="4363" max="4363" width="32.1328125" style="542" customWidth="1"/>
    <x:col min="4364" max="4608" width="9.06640625" style="542" customWidth="0"/>
    <x:col min="4609" max="4609" width="6.6640625" style="542" customWidth="1"/>
    <x:col min="4610" max="4610" width="56.796875" style="542" customWidth="1"/>
    <x:col min="4611" max="4611" width="23.73046875" style="542" customWidth="1"/>
    <x:col min="4612" max="4612" width="12.796875" style="542" customWidth="1"/>
    <x:col min="4613" max="4613" width="12.265625" style="542" customWidth="1"/>
    <x:col min="4614" max="4614" width="13.73046875" style="542" customWidth="1"/>
    <x:col min="4615" max="4615" width="23.86328125" style="542" customWidth="1"/>
    <x:col min="4616" max="4616" width="19.06640625" style="542" customWidth="1"/>
    <x:col min="4617" max="4617" width="18.265625" style="542" customWidth="1"/>
    <x:col min="4618" max="4618" width="20.796875" style="542" customWidth="1"/>
    <x:col min="4619" max="4619" width="32.1328125" style="542" customWidth="1"/>
    <x:col min="4620" max="4864" width="9.06640625" style="542" customWidth="0"/>
    <x:col min="4865" max="4865" width="6.6640625" style="542" customWidth="1"/>
    <x:col min="4866" max="4866" width="56.796875" style="542" customWidth="1"/>
    <x:col min="4867" max="4867" width="23.73046875" style="542" customWidth="1"/>
    <x:col min="4868" max="4868" width="12.796875" style="542" customWidth="1"/>
    <x:col min="4869" max="4869" width="12.265625" style="542" customWidth="1"/>
    <x:col min="4870" max="4870" width="13.73046875" style="542" customWidth="1"/>
    <x:col min="4871" max="4871" width="23.86328125" style="542" customWidth="1"/>
    <x:col min="4872" max="4872" width="19.06640625" style="542" customWidth="1"/>
    <x:col min="4873" max="4873" width="18.265625" style="542" customWidth="1"/>
    <x:col min="4874" max="4874" width="20.796875" style="542" customWidth="1"/>
    <x:col min="4875" max="4875" width="32.1328125" style="542" customWidth="1"/>
    <x:col min="4876" max="5120" width="9.06640625" style="542" customWidth="0"/>
    <x:col min="5121" max="5121" width="6.6640625" style="542" customWidth="1"/>
    <x:col min="5122" max="5122" width="56.796875" style="542" customWidth="1"/>
    <x:col min="5123" max="5123" width="23.73046875" style="542" customWidth="1"/>
    <x:col min="5124" max="5124" width="12.796875" style="542" customWidth="1"/>
    <x:col min="5125" max="5125" width="12.265625" style="542" customWidth="1"/>
    <x:col min="5126" max="5126" width="13.73046875" style="542" customWidth="1"/>
    <x:col min="5127" max="5127" width="23.86328125" style="542" customWidth="1"/>
    <x:col min="5128" max="5128" width="19.06640625" style="542" customWidth="1"/>
    <x:col min="5129" max="5129" width="18.265625" style="542" customWidth="1"/>
    <x:col min="5130" max="5130" width="20.796875" style="542" customWidth="1"/>
    <x:col min="5131" max="5131" width="32.1328125" style="542" customWidth="1"/>
    <x:col min="5132" max="5376" width="9.06640625" style="542" customWidth="0"/>
    <x:col min="5377" max="5377" width="6.6640625" style="542" customWidth="1"/>
    <x:col min="5378" max="5378" width="56.796875" style="542" customWidth="1"/>
    <x:col min="5379" max="5379" width="23.73046875" style="542" customWidth="1"/>
    <x:col min="5380" max="5380" width="12.796875" style="542" customWidth="1"/>
    <x:col min="5381" max="5381" width="12.265625" style="542" customWidth="1"/>
    <x:col min="5382" max="5382" width="13.73046875" style="542" customWidth="1"/>
    <x:col min="5383" max="5383" width="23.86328125" style="542" customWidth="1"/>
    <x:col min="5384" max="5384" width="19.06640625" style="542" customWidth="1"/>
    <x:col min="5385" max="5385" width="18.265625" style="542" customWidth="1"/>
    <x:col min="5386" max="5386" width="20.796875" style="542" customWidth="1"/>
    <x:col min="5387" max="5387" width="32.1328125" style="542" customWidth="1"/>
    <x:col min="5388" max="5632" width="9.06640625" style="542" customWidth="0"/>
    <x:col min="5633" max="5633" width="6.6640625" style="542" customWidth="1"/>
    <x:col min="5634" max="5634" width="56.796875" style="542" customWidth="1"/>
    <x:col min="5635" max="5635" width="23.73046875" style="542" customWidth="1"/>
    <x:col min="5636" max="5636" width="12.796875" style="542" customWidth="1"/>
    <x:col min="5637" max="5637" width="12.265625" style="542" customWidth="1"/>
    <x:col min="5638" max="5638" width="13.73046875" style="542" customWidth="1"/>
    <x:col min="5639" max="5639" width="23.86328125" style="542" customWidth="1"/>
    <x:col min="5640" max="5640" width="19.06640625" style="542" customWidth="1"/>
    <x:col min="5641" max="5641" width="18.265625" style="542" customWidth="1"/>
    <x:col min="5642" max="5642" width="20.796875" style="542" customWidth="1"/>
    <x:col min="5643" max="5643" width="32.1328125" style="542" customWidth="1"/>
    <x:col min="5644" max="5888" width="9.06640625" style="542" customWidth="0"/>
    <x:col min="5889" max="5889" width="6.6640625" style="542" customWidth="1"/>
    <x:col min="5890" max="5890" width="56.796875" style="542" customWidth="1"/>
    <x:col min="5891" max="5891" width="23.73046875" style="542" customWidth="1"/>
    <x:col min="5892" max="5892" width="12.796875" style="542" customWidth="1"/>
    <x:col min="5893" max="5893" width="12.265625" style="542" customWidth="1"/>
    <x:col min="5894" max="5894" width="13.73046875" style="542" customWidth="1"/>
    <x:col min="5895" max="5895" width="23.86328125" style="542" customWidth="1"/>
    <x:col min="5896" max="5896" width="19.06640625" style="542" customWidth="1"/>
    <x:col min="5897" max="5897" width="18.265625" style="542" customWidth="1"/>
    <x:col min="5898" max="5898" width="20.796875" style="542" customWidth="1"/>
    <x:col min="5899" max="5899" width="32.1328125" style="542" customWidth="1"/>
    <x:col min="5900" max="6144" width="9.06640625" style="542" customWidth="0"/>
    <x:col min="6145" max="6145" width="6.6640625" style="542" customWidth="1"/>
    <x:col min="6146" max="6146" width="56.796875" style="542" customWidth="1"/>
    <x:col min="6147" max="6147" width="23.73046875" style="542" customWidth="1"/>
    <x:col min="6148" max="6148" width="12.796875" style="542" customWidth="1"/>
    <x:col min="6149" max="6149" width="12.265625" style="542" customWidth="1"/>
    <x:col min="6150" max="6150" width="13.73046875" style="542" customWidth="1"/>
    <x:col min="6151" max="6151" width="23.86328125" style="542" customWidth="1"/>
    <x:col min="6152" max="6152" width="19.06640625" style="542" customWidth="1"/>
    <x:col min="6153" max="6153" width="18.265625" style="542" customWidth="1"/>
    <x:col min="6154" max="6154" width="20.796875" style="542" customWidth="1"/>
    <x:col min="6155" max="6155" width="32.1328125" style="542" customWidth="1"/>
    <x:col min="6156" max="6400" width="9.06640625" style="542" customWidth="0"/>
    <x:col min="6401" max="6401" width="6.6640625" style="542" customWidth="1"/>
    <x:col min="6402" max="6402" width="56.796875" style="542" customWidth="1"/>
    <x:col min="6403" max="6403" width="23.73046875" style="542" customWidth="1"/>
    <x:col min="6404" max="6404" width="12.796875" style="542" customWidth="1"/>
    <x:col min="6405" max="6405" width="12.265625" style="542" customWidth="1"/>
    <x:col min="6406" max="6406" width="13.73046875" style="542" customWidth="1"/>
    <x:col min="6407" max="6407" width="23.86328125" style="542" customWidth="1"/>
    <x:col min="6408" max="6408" width="19.06640625" style="542" customWidth="1"/>
    <x:col min="6409" max="6409" width="18.265625" style="542" customWidth="1"/>
    <x:col min="6410" max="6410" width="20.796875" style="542" customWidth="1"/>
    <x:col min="6411" max="6411" width="32.1328125" style="542" customWidth="1"/>
    <x:col min="6412" max="6656" width="9.06640625" style="542" customWidth="0"/>
    <x:col min="6657" max="6657" width="6.6640625" style="542" customWidth="1"/>
    <x:col min="6658" max="6658" width="56.796875" style="542" customWidth="1"/>
    <x:col min="6659" max="6659" width="23.73046875" style="542" customWidth="1"/>
    <x:col min="6660" max="6660" width="12.796875" style="542" customWidth="1"/>
    <x:col min="6661" max="6661" width="12.265625" style="542" customWidth="1"/>
    <x:col min="6662" max="6662" width="13.73046875" style="542" customWidth="1"/>
    <x:col min="6663" max="6663" width="23.86328125" style="542" customWidth="1"/>
    <x:col min="6664" max="6664" width="19.06640625" style="542" customWidth="1"/>
    <x:col min="6665" max="6665" width="18.265625" style="542" customWidth="1"/>
    <x:col min="6666" max="6666" width="20.796875" style="542" customWidth="1"/>
    <x:col min="6667" max="6667" width="32.1328125" style="542" customWidth="1"/>
    <x:col min="6668" max="6912" width="9.06640625" style="542" customWidth="0"/>
    <x:col min="6913" max="6913" width="6.6640625" style="542" customWidth="1"/>
    <x:col min="6914" max="6914" width="56.796875" style="542" customWidth="1"/>
    <x:col min="6915" max="6915" width="23.73046875" style="542" customWidth="1"/>
    <x:col min="6916" max="6916" width="12.796875" style="542" customWidth="1"/>
    <x:col min="6917" max="6917" width="12.265625" style="542" customWidth="1"/>
    <x:col min="6918" max="6918" width="13.73046875" style="542" customWidth="1"/>
    <x:col min="6919" max="6919" width="23.86328125" style="542" customWidth="1"/>
    <x:col min="6920" max="6920" width="19.06640625" style="542" customWidth="1"/>
    <x:col min="6921" max="6921" width="18.265625" style="542" customWidth="1"/>
    <x:col min="6922" max="6922" width="20.796875" style="542" customWidth="1"/>
    <x:col min="6923" max="6923" width="32.1328125" style="542" customWidth="1"/>
    <x:col min="6924" max="7168" width="9.06640625" style="542" customWidth="0"/>
    <x:col min="7169" max="7169" width="6.6640625" style="542" customWidth="1"/>
    <x:col min="7170" max="7170" width="56.796875" style="542" customWidth="1"/>
    <x:col min="7171" max="7171" width="23.73046875" style="542" customWidth="1"/>
    <x:col min="7172" max="7172" width="12.796875" style="542" customWidth="1"/>
    <x:col min="7173" max="7173" width="12.265625" style="542" customWidth="1"/>
    <x:col min="7174" max="7174" width="13.73046875" style="542" customWidth="1"/>
    <x:col min="7175" max="7175" width="23.86328125" style="542" customWidth="1"/>
    <x:col min="7176" max="7176" width="19.06640625" style="542" customWidth="1"/>
    <x:col min="7177" max="7177" width="18.265625" style="542" customWidth="1"/>
    <x:col min="7178" max="7178" width="20.796875" style="542" customWidth="1"/>
    <x:col min="7179" max="7179" width="32.1328125" style="542" customWidth="1"/>
    <x:col min="7180" max="7424" width="9.06640625" style="542" customWidth="0"/>
    <x:col min="7425" max="7425" width="6.6640625" style="542" customWidth="1"/>
    <x:col min="7426" max="7426" width="56.796875" style="542" customWidth="1"/>
    <x:col min="7427" max="7427" width="23.73046875" style="542" customWidth="1"/>
    <x:col min="7428" max="7428" width="12.796875" style="542" customWidth="1"/>
    <x:col min="7429" max="7429" width="12.265625" style="542" customWidth="1"/>
    <x:col min="7430" max="7430" width="13.73046875" style="542" customWidth="1"/>
    <x:col min="7431" max="7431" width="23.86328125" style="542" customWidth="1"/>
    <x:col min="7432" max="7432" width="19.06640625" style="542" customWidth="1"/>
    <x:col min="7433" max="7433" width="18.265625" style="542" customWidth="1"/>
    <x:col min="7434" max="7434" width="20.796875" style="542" customWidth="1"/>
    <x:col min="7435" max="7435" width="32.1328125" style="542" customWidth="1"/>
    <x:col min="7436" max="7680" width="9.06640625" style="542" customWidth="0"/>
    <x:col min="7681" max="7681" width="6.6640625" style="542" customWidth="1"/>
    <x:col min="7682" max="7682" width="56.796875" style="542" customWidth="1"/>
    <x:col min="7683" max="7683" width="23.73046875" style="542" customWidth="1"/>
    <x:col min="7684" max="7684" width="12.796875" style="542" customWidth="1"/>
    <x:col min="7685" max="7685" width="12.265625" style="542" customWidth="1"/>
    <x:col min="7686" max="7686" width="13.73046875" style="542" customWidth="1"/>
    <x:col min="7687" max="7687" width="23.86328125" style="542" customWidth="1"/>
    <x:col min="7688" max="7688" width="19.06640625" style="542" customWidth="1"/>
    <x:col min="7689" max="7689" width="18.265625" style="542" customWidth="1"/>
    <x:col min="7690" max="7690" width="20.796875" style="542" customWidth="1"/>
    <x:col min="7691" max="7691" width="32.1328125" style="542" customWidth="1"/>
    <x:col min="7692" max="7936" width="9.06640625" style="542" customWidth="0"/>
    <x:col min="7937" max="7937" width="6.6640625" style="542" customWidth="1"/>
    <x:col min="7938" max="7938" width="56.796875" style="542" customWidth="1"/>
    <x:col min="7939" max="7939" width="23.73046875" style="542" customWidth="1"/>
    <x:col min="7940" max="7940" width="12.796875" style="542" customWidth="1"/>
    <x:col min="7941" max="7941" width="12.265625" style="542" customWidth="1"/>
    <x:col min="7942" max="7942" width="13.73046875" style="542" customWidth="1"/>
    <x:col min="7943" max="7943" width="23.86328125" style="542" customWidth="1"/>
    <x:col min="7944" max="7944" width="19.06640625" style="542" customWidth="1"/>
    <x:col min="7945" max="7945" width="18.265625" style="542" customWidth="1"/>
    <x:col min="7946" max="7946" width="20.796875" style="542" customWidth="1"/>
    <x:col min="7947" max="7947" width="32.1328125" style="542" customWidth="1"/>
    <x:col min="7948" max="8192" width="9.06640625" style="542" customWidth="0"/>
    <x:col min="8193" max="8193" width="6.6640625" style="542" customWidth="1"/>
    <x:col min="8194" max="8194" width="56.796875" style="542" customWidth="1"/>
    <x:col min="8195" max="8195" width="23.73046875" style="542" customWidth="1"/>
    <x:col min="8196" max="8196" width="12.796875" style="542" customWidth="1"/>
    <x:col min="8197" max="8197" width="12.265625" style="542" customWidth="1"/>
    <x:col min="8198" max="8198" width="13.73046875" style="542" customWidth="1"/>
    <x:col min="8199" max="8199" width="23.86328125" style="542" customWidth="1"/>
    <x:col min="8200" max="8200" width="19.06640625" style="542" customWidth="1"/>
    <x:col min="8201" max="8201" width="18.265625" style="542" customWidth="1"/>
    <x:col min="8202" max="8202" width="20.796875" style="542" customWidth="1"/>
    <x:col min="8203" max="8203" width="32.1328125" style="542" customWidth="1"/>
    <x:col min="8204" max="8448" width="9.06640625" style="542" customWidth="0"/>
    <x:col min="8449" max="8449" width="6.6640625" style="542" customWidth="1"/>
    <x:col min="8450" max="8450" width="56.796875" style="542" customWidth="1"/>
    <x:col min="8451" max="8451" width="23.73046875" style="542" customWidth="1"/>
    <x:col min="8452" max="8452" width="12.796875" style="542" customWidth="1"/>
    <x:col min="8453" max="8453" width="12.265625" style="542" customWidth="1"/>
    <x:col min="8454" max="8454" width="13.73046875" style="542" customWidth="1"/>
    <x:col min="8455" max="8455" width="23.86328125" style="542" customWidth="1"/>
    <x:col min="8456" max="8456" width="19.06640625" style="542" customWidth="1"/>
    <x:col min="8457" max="8457" width="18.265625" style="542" customWidth="1"/>
    <x:col min="8458" max="8458" width="20.796875" style="542" customWidth="1"/>
    <x:col min="8459" max="8459" width="32.1328125" style="542" customWidth="1"/>
    <x:col min="8460" max="8704" width="9.06640625" style="542" customWidth="0"/>
    <x:col min="8705" max="8705" width="6.6640625" style="542" customWidth="1"/>
    <x:col min="8706" max="8706" width="56.796875" style="542" customWidth="1"/>
    <x:col min="8707" max="8707" width="23.73046875" style="542" customWidth="1"/>
    <x:col min="8708" max="8708" width="12.796875" style="542" customWidth="1"/>
    <x:col min="8709" max="8709" width="12.265625" style="542" customWidth="1"/>
    <x:col min="8710" max="8710" width="13.73046875" style="542" customWidth="1"/>
    <x:col min="8711" max="8711" width="23.86328125" style="542" customWidth="1"/>
    <x:col min="8712" max="8712" width="19.06640625" style="542" customWidth="1"/>
    <x:col min="8713" max="8713" width="18.265625" style="542" customWidth="1"/>
    <x:col min="8714" max="8714" width="20.796875" style="542" customWidth="1"/>
    <x:col min="8715" max="8715" width="32.1328125" style="542" customWidth="1"/>
    <x:col min="8716" max="8960" width="9.06640625" style="542" customWidth="0"/>
    <x:col min="8961" max="8961" width="6.6640625" style="542" customWidth="1"/>
    <x:col min="8962" max="8962" width="56.796875" style="542" customWidth="1"/>
    <x:col min="8963" max="8963" width="23.73046875" style="542" customWidth="1"/>
    <x:col min="8964" max="8964" width="12.796875" style="542" customWidth="1"/>
    <x:col min="8965" max="8965" width="12.265625" style="542" customWidth="1"/>
    <x:col min="8966" max="8966" width="13.73046875" style="542" customWidth="1"/>
    <x:col min="8967" max="8967" width="23.86328125" style="542" customWidth="1"/>
    <x:col min="8968" max="8968" width="19.06640625" style="542" customWidth="1"/>
    <x:col min="8969" max="8969" width="18.265625" style="542" customWidth="1"/>
    <x:col min="8970" max="8970" width="20.796875" style="542" customWidth="1"/>
    <x:col min="8971" max="8971" width="32.1328125" style="542" customWidth="1"/>
    <x:col min="8972" max="9216" width="9.06640625" style="542" customWidth="0"/>
    <x:col min="9217" max="9217" width="6.6640625" style="542" customWidth="1"/>
    <x:col min="9218" max="9218" width="56.796875" style="542" customWidth="1"/>
    <x:col min="9219" max="9219" width="23.73046875" style="542" customWidth="1"/>
    <x:col min="9220" max="9220" width="12.796875" style="542" customWidth="1"/>
    <x:col min="9221" max="9221" width="12.265625" style="542" customWidth="1"/>
    <x:col min="9222" max="9222" width="13.73046875" style="542" customWidth="1"/>
    <x:col min="9223" max="9223" width="23.86328125" style="542" customWidth="1"/>
    <x:col min="9224" max="9224" width="19.06640625" style="542" customWidth="1"/>
    <x:col min="9225" max="9225" width="18.265625" style="542" customWidth="1"/>
    <x:col min="9226" max="9226" width="20.796875" style="542" customWidth="1"/>
    <x:col min="9227" max="9227" width="32.1328125" style="542" customWidth="1"/>
    <x:col min="9228" max="9472" width="9.06640625" style="542" customWidth="0"/>
    <x:col min="9473" max="9473" width="6.6640625" style="542" customWidth="1"/>
    <x:col min="9474" max="9474" width="56.796875" style="542" customWidth="1"/>
    <x:col min="9475" max="9475" width="23.73046875" style="542" customWidth="1"/>
    <x:col min="9476" max="9476" width="12.796875" style="542" customWidth="1"/>
    <x:col min="9477" max="9477" width="12.265625" style="542" customWidth="1"/>
    <x:col min="9478" max="9478" width="13.73046875" style="542" customWidth="1"/>
    <x:col min="9479" max="9479" width="23.86328125" style="542" customWidth="1"/>
    <x:col min="9480" max="9480" width="19.06640625" style="542" customWidth="1"/>
    <x:col min="9481" max="9481" width="18.265625" style="542" customWidth="1"/>
    <x:col min="9482" max="9482" width="20.796875" style="542" customWidth="1"/>
    <x:col min="9483" max="9483" width="32.1328125" style="542" customWidth="1"/>
    <x:col min="9484" max="9728" width="9.06640625" style="542" customWidth="0"/>
    <x:col min="9729" max="9729" width="6.6640625" style="542" customWidth="1"/>
    <x:col min="9730" max="9730" width="56.796875" style="542" customWidth="1"/>
    <x:col min="9731" max="9731" width="23.73046875" style="542" customWidth="1"/>
    <x:col min="9732" max="9732" width="12.796875" style="542" customWidth="1"/>
    <x:col min="9733" max="9733" width="12.265625" style="542" customWidth="1"/>
    <x:col min="9734" max="9734" width="13.73046875" style="542" customWidth="1"/>
    <x:col min="9735" max="9735" width="23.86328125" style="542" customWidth="1"/>
    <x:col min="9736" max="9736" width="19.06640625" style="542" customWidth="1"/>
    <x:col min="9737" max="9737" width="18.265625" style="542" customWidth="1"/>
    <x:col min="9738" max="9738" width="20.796875" style="542" customWidth="1"/>
    <x:col min="9739" max="9739" width="32.1328125" style="542" customWidth="1"/>
    <x:col min="9740" max="9984" width="9.06640625" style="542" customWidth="0"/>
    <x:col min="9985" max="9985" width="6.6640625" style="542" customWidth="1"/>
    <x:col min="9986" max="9986" width="56.796875" style="542" customWidth="1"/>
    <x:col min="9987" max="9987" width="23.73046875" style="542" customWidth="1"/>
    <x:col min="9988" max="9988" width="12.796875" style="542" customWidth="1"/>
    <x:col min="9989" max="9989" width="12.265625" style="542" customWidth="1"/>
    <x:col min="9990" max="9990" width="13.73046875" style="542" customWidth="1"/>
    <x:col min="9991" max="9991" width="23.86328125" style="542" customWidth="1"/>
    <x:col min="9992" max="9992" width="19.06640625" style="542" customWidth="1"/>
    <x:col min="9993" max="9993" width="18.265625" style="542" customWidth="1"/>
    <x:col min="9994" max="9994" width="20.796875" style="542" customWidth="1"/>
    <x:col min="9995" max="9995" width="32.1328125" style="542" customWidth="1"/>
    <x:col min="9996" max="10240" width="9.06640625" style="542" customWidth="0"/>
    <x:col min="10241" max="10241" width="6.6640625" style="542" customWidth="1"/>
    <x:col min="10242" max="10242" width="56.796875" style="542" customWidth="1"/>
    <x:col min="10243" max="10243" width="23.73046875" style="542" customWidth="1"/>
    <x:col min="10244" max="10244" width="12.796875" style="542" customWidth="1"/>
    <x:col min="10245" max="10245" width="12.265625" style="542" customWidth="1"/>
    <x:col min="10246" max="10246" width="13.73046875" style="542" customWidth="1"/>
    <x:col min="10247" max="10247" width="23.86328125" style="542" customWidth="1"/>
    <x:col min="10248" max="10248" width="19.06640625" style="542" customWidth="1"/>
    <x:col min="10249" max="10249" width="18.265625" style="542" customWidth="1"/>
    <x:col min="10250" max="10250" width="20.796875" style="542" customWidth="1"/>
    <x:col min="10251" max="10251" width="32.1328125" style="542" customWidth="1"/>
    <x:col min="10252" max="10496" width="9.06640625" style="542" customWidth="0"/>
    <x:col min="10497" max="10497" width="6.6640625" style="542" customWidth="1"/>
    <x:col min="10498" max="10498" width="56.796875" style="542" customWidth="1"/>
    <x:col min="10499" max="10499" width="23.73046875" style="542" customWidth="1"/>
    <x:col min="10500" max="10500" width="12.796875" style="542" customWidth="1"/>
    <x:col min="10501" max="10501" width="12.265625" style="542" customWidth="1"/>
    <x:col min="10502" max="10502" width="13.73046875" style="542" customWidth="1"/>
    <x:col min="10503" max="10503" width="23.86328125" style="542" customWidth="1"/>
    <x:col min="10504" max="10504" width="19.06640625" style="542" customWidth="1"/>
    <x:col min="10505" max="10505" width="18.265625" style="542" customWidth="1"/>
    <x:col min="10506" max="10506" width="20.796875" style="542" customWidth="1"/>
    <x:col min="10507" max="10507" width="32.1328125" style="542" customWidth="1"/>
    <x:col min="10508" max="10752" width="9.06640625" style="542" customWidth="0"/>
    <x:col min="10753" max="10753" width="6.6640625" style="542" customWidth="1"/>
    <x:col min="10754" max="10754" width="56.796875" style="542" customWidth="1"/>
    <x:col min="10755" max="10755" width="23.73046875" style="542" customWidth="1"/>
    <x:col min="10756" max="10756" width="12.796875" style="542" customWidth="1"/>
    <x:col min="10757" max="10757" width="12.265625" style="542" customWidth="1"/>
    <x:col min="10758" max="10758" width="13.73046875" style="542" customWidth="1"/>
    <x:col min="10759" max="10759" width="23.86328125" style="542" customWidth="1"/>
    <x:col min="10760" max="10760" width="19.06640625" style="542" customWidth="1"/>
    <x:col min="10761" max="10761" width="18.265625" style="542" customWidth="1"/>
    <x:col min="10762" max="10762" width="20.796875" style="542" customWidth="1"/>
    <x:col min="10763" max="10763" width="32.1328125" style="542" customWidth="1"/>
    <x:col min="10764" max="11008" width="9.06640625" style="542" customWidth="0"/>
    <x:col min="11009" max="11009" width="6.6640625" style="542" customWidth="1"/>
    <x:col min="11010" max="11010" width="56.796875" style="542" customWidth="1"/>
    <x:col min="11011" max="11011" width="23.73046875" style="542" customWidth="1"/>
    <x:col min="11012" max="11012" width="12.796875" style="542" customWidth="1"/>
    <x:col min="11013" max="11013" width="12.265625" style="542" customWidth="1"/>
    <x:col min="11014" max="11014" width="13.73046875" style="542" customWidth="1"/>
    <x:col min="11015" max="11015" width="23.86328125" style="542" customWidth="1"/>
    <x:col min="11016" max="11016" width="19.06640625" style="542" customWidth="1"/>
    <x:col min="11017" max="11017" width="18.265625" style="542" customWidth="1"/>
    <x:col min="11018" max="11018" width="20.796875" style="542" customWidth="1"/>
    <x:col min="11019" max="11019" width="32.1328125" style="542" customWidth="1"/>
    <x:col min="11020" max="11264" width="9.06640625" style="542" customWidth="0"/>
    <x:col min="11265" max="11265" width="6.6640625" style="542" customWidth="1"/>
    <x:col min="11266" max="11266" width="56.796875" style="542" customWidth="1"/>
    <x:col min="11267" max="11267" width="23.73046875" style="542" customWidth="1"/>
    <x:col min="11268" max="11268" width="12.796875" style="542" customWidth="1"/>
    <x:col min="11269" max="11269" width="12.265625" style="542" customWidth="1"/>
    <x:col min="11270" max="11270" width="13.73046875" style="542" customWidth="1"/>
    <x:col min="11271" max="11271" width="23.86328125" style="542" customWidth="1"/>
    <x:col min="11272" max="11272" width="19.06640625" style="542" customWidth="1"/>
    <x:col min="11273" max="11273" width="18.265625" style="542" customWidth="1"/>
    <x:col min="11274" max="11274" width="20.796875" style="542" customWidth="1"/>
    <x:col min="11275" max="11275" width="32.1328125" style="542" customWidth="1"/>
    <x:col min="11276" max="11520" width="9.06640625" style="542" customWidth="0"/>
    <x:col min="11521" max="11521" width="6.6640625" style="542" customWidth="1"/>
    <x:col min="11522" max="11522" width="56.796875" style="542" customWidth="1"/>
    <x:col min="11523" max="11523" width="23.73046875" style="542" customWidth="1"/>
    <x:col min="11524" max="11524" width="12.796875" style="542" customWidth="1"/>
    <x:col min="11525" max="11525" width="12.265625" style="542" customWidth="1"/>
    <x:col min="11526" max="11526" width="13.73046875" style="542" customWidth="1"/>
    <x:col min="11527" max="11527" width="23.86328125" style="542" customWidth="1"/>
    <x:col min="11528" max="11528" width="19.06640625" style="542" customWidth="1"/>
    <x:col min="11529" max="11529" width="18.265625" style="542" customWidth="1"/>
    <x:col min="11530" max="11530" width="20.796875" style="542" customWidth="1"/>
    <x:col min="11531" max="11531" width="32.1328125" style="542" customWidth="1"/>
    <x:col min="11532" max="11776" width="9.06640625" style="542" customWidth="0"/>
    <x:col min="11777" max="11777" width="6.6640625" style="542" customWidth="1"/>
    <x:col min="11778" max="11778" width="56.796875" style="542" customWidth="1"/>
    <x:col min="11779" max="11779" width="23.73046875" style="542" customWidth="1"/>
    <x:col min="11780" max="11780" width="12.796875" style="542" customWidth="1"/>
    <x:col min="11781" max="11781" width="12.265625" style="542" customWidth="1"/>
    <x:col min="11782" max="11782" width="13.73046875" style="542" customWidth="1"/>
    <x:col min="11783" max="11783" width="23.86328125" style="542" customWidth="1"/>
    <x:col min="11784" max="11784" width="19.06640625" style="542" customWidth="1"/>
    <x:col min="11785" max="11785" width="18.265625" style="542" customWidth="1"/>
    <x:col min="11786" max="11786" width="20.796875" style="542" customWidth="1"/>
    <x:col min="11787" max="11787" width="32.1328125" style="542" customWidth="1"/>
    <x:col min="11788" max="12032" width="9.06640625" style="542" customWidth="0"/>
    <x:col min="12033" max="12033" width="6.6640625" style="542" customWidth="1"/>
    <x:col min="12034" max="12034" width="56.796875" style="542" customWidth="1"/>
    <x:col min="12035" max="12035" width="23.73046875" style="542" customWidth="1"/>
    <x:col min="12036" max="12036" width="12.796875" style="542" customWidth="1"/>
    <x:col min="12037" max="12037" width="12.265625" style="542" customWidth="1"/>
    <x:col min="12038" max="12038" width="13.73046875" style="542" customWidth="1"/>
    <x:col min="12039" max="12039" width="23.86328125" style="542" customWidth="1"/>
    <x:col min="12040" max="12040" width="19.06640625" style="542" customWidth="1"/>
    <x:col min="12041" max="12041" width="18.265625" style="542" customWidth="1"/>
    <x:col min="12042" max="12042" width="20.796875" style="542" customWidth="1"/>
    <x:col min="12043" max="12043" width="32.1328125" style="542" customWidth="1"/>
    <x:col min="12044" max="12288" width="9.06640625" style="542" customWidth="0"/>
    <x:col min="12289" max="12289" width="6.6640625" style="542" customWidth="1"/>
    <x:col min="12290" max="12290" width="56.796875" style="542" customWidth="1"/>
    <x:col min="12291" max="12291" width="23.73046875" style="542" customWidth="1"/>
    <x:col min="12292" max="12292" width="12.796875" style="542" customWidth="1"/>
    <x:col min="12293" max="12293" width="12.265625" style="542" customWidth="1"/>
    <x:col min="12294" max="12294" width="13.73046875" style="542" customWidth="1"/>
    <x:col min="12295" max="12295" width="23.86328125" style="542" customWidth="1"/>
    <x:col min="12296" max="12296" width="19.06640625" style="542" customWidth="1"/>
    <x:col min="12297" max="12297" width="18.265625" style="542" customWidth="1"/>
    <x:col min="12298" max="12298" width="20.796875" style="542" customWidth="1"/>
    <x:col min="12299" max="12299" width="32.1328125" style="542" customWidth="1"/>
    <x:col min="12300" max="12544" width="9.06640625" style="542" customWidth="0"/>
    <x:col min="12545" max="12545" width="6.6640625" style="542" customWidth="1"/>
    <x:col min="12546" max="12546" width="56.796875" style="542" customWidth="1"/>
    <x:col min="12547" max="12547" width="23.73046875" style="542" customWidth="1"/>
    <x:col min="12548" max="12548" width="12.796875" style="542" customWidth="1"/>
    <x:col min="12549" max="12549" width="12.265625" style="542" customWidth="1"/>
    <x:col min="12550" max="12550" width="13.73046875" style="542" customWidth="1"/>
    <x:col min="12551" max="12551" width="23.86328125" style="542" customWidth="1"/>
    <x:col min="12552" max="12552" width="19.06640625" style="542" customWidth="1"/>
    <x:col min="12553" max="12553" width="18.265625" style="542" customWidth="1"/>
    <x:col min="12554" max="12554" width="20.796875" style="542" customWidth="1"/>
    <x:col min="12555" max="12555" width="32.1328125" style="542" customWidth="1"/>
    <x:col min="12556" max="12800" width="9.06640625" style="542" customWidth="0"/>
    <x:col min="12801" max="12801" width="6.6640625" style="542" customWidth="1"/>
    <x:col min="12802" max="12802" width="56.796875" style="542" customWidth="1"/>
    <x:col min="12803" max="12803" width="23.73046875" style="542" customWidth="1"/>
    <x:col min="12804" max="12804" width="12.796875" style="542" customWidth="1"/>
    <x:col min="12805" max="12805" width="12.265625" style="542" customWidth="1"/>
    <x:col min="12806" max="12806" width="13.73046875" style="542" customWidth="1"/>
    <x:col min="12807" max="12807" width="23.86328125" style="542" customWidth="1"/>
    <x:col min="12808" max="12808" width="19.06640625" style="542" customWidth="1"/>
    <x:col min="12809" max="12809" width="18.265625" style="542" customWidth="1"/>
    <x:col min="12810" max="12810" width="20.796875" style="542" customWidth="1"/>
    <x:col min="12811" max="12811" width="32.1328125" style="542" customWidth="1"/>
    <x:col min="12812" max="13056" width="9.06640625" style="542" customWidth="0"/>
    <x:col min="13057" max="13057" width="6.6640625" style="542" customWidth="1"/>
    <x:col min="13058" max="13058" width="56.796875" style="542" customWidth="1"/>
    <x:col min="13059" max="13059" width="23.73046875" style="542" customWidth="1"/>
    <x:col min="13060" max="13060" width="12.796875" style="542" customWidth="1"/>
    <x:col min="13061" max="13061" width="12.265625" style="542" customWidth="1"/>
    <x:col min="13062" max="13062" width="13.73046875" style="542" customWidth="1"/>
    <x:col min="13063" max="13063" width="23.86328125" style="542" customWidth="1"/>
    <x:col min="13064" max="13064" width="19.06640625" style="542" customWidth="1"/>
    <x:col min="13065" max="13065" width="18.265625" style="542" customWidth="1"/>
    <x:col min="13066" max="13066" width="20.796875" style="542" customWidth="1"/>
    <x:col min="13067" max="13067" width="32.1328125" style="542" customWidth="1"/>
    <x:col min="13068" max="13312" width="9.06640625" style="542" customWidth="0"/>
    <x:col min="13313" max="13313" width="6.6640625" style="542" customWidth="1"/>
    <x:col min="13314" max="13314" width="56.796875" style="542" customWidth="1"/>
    <x:col min="13315" max="13315" width="23.73046875" style="542" customWidth="1"/>
    <x:col min="13316" max="13316" width="12.796875" style="542" customWidth="1"/>
    <x:col min="13317" max="13317" width="12.265625" style="542" customWidth="1"/>
    <x:col min="13318" max="13318" width="13.73046875" style="542" customWidth="1"/>
    <x:col min="13319" max="13319" width="23.86328125" style="542" customWidth="1"/>
    <x:col min="13320" max="13320" width="19.06640625" style="542" customWidth="1"/>
    <x:col min="13321" max="13321" width="18.265625" style="542" customWidth="1"/>
    <x:col min="13322" max="13322" width="20.796875" style="542" customWidth="1"/>
    <x:col min="13323" max="13323" width="32.1328125" style="542" customWidth="1"/>
    <x:col min="13324" max="13568" width="9.06640625" style="542" customWidth="0"/>
    <x:col min="13569" max="13569" width="6.6640625" style="542" customWidth="1"/>
    <x:col min="13570" max="13570" width="56.796875" style="542" customWidth="1"/>
    <x:col min="13571" max="13571" width="23.73046875" style="542" customWidth="1"/>
    <x:col min="13572" max="13572" width="12.796875" style="542" customWidth="1"/>
    <x:col min="13573" max="13573" width="12.265625" style="542" customWidth="1"/>
    <x:col min="13574" max="13574" width="13.73046875" style="542" customWidth="1"/>
    <x:col min="13575" max="13575" width="23.86328125" style="542" customWidth="1"/>
    <x:col min="13576" max="13576" width="19.06640625" style="542" customWidth="1"/>
    <x:col min="13577" max="13577" width="18.265625" style="542" customWidth="1"/>
    <x:col min="13578" max="13578" width="20.796875" style="542" customWidth="1"/>
    <x:col min="13579" max="13579" width="32.1328125" style="542" customWidth="1"/>
    <x:col min="13580" max="13824" width="9.06640625" style="542" customWidth="0"/>
    <x:col min="13825" max="13825" width="6.6640625" style="542" customWidth="1"/>
    <x:col min="13826" max="13826" width="56.796875" style="542" customWidth="1"/>
    <x:col min="13827" max="13827" width="23.73046875" style="542" customWidth="1"/>
    <x:col min="13828" max="13828" width="12.796875" style="542" customWidth="1"/>
    <x:col min="13829" max="13829" width="12.265625" style="542" customWidth="1"/>
    <x:col min="13830" max="13830" width="13.73046875" style="542" customWidth="1"/>
    <x:col min="13831" max="13831" width="23.86328125" style="542" customWidth="1"/>
    <x:col min="13832" max="13832" width="19.06640625" style="542" customWidth="1"/>
    <x:col min="13833" max="13833" width="18.265625" style="542" customWidth="1"/>
    <x:col min="13834" max="13834" width="20.796875" style="542" customWidth="1"/>
    <x:col min="13835" max="13835" width="32.1328125" style="542" customWidth="1"/>
    <x:col min="13836" max="14080" width="9.06640625" style="542" customWidth="0"/>
    <x:col min="14081" max="14081" width="6.6640625" style="542" customWidth="1"/>
    <x:col min="14082" max="14082" width="56.796875" style="542" customWidth="1"/>
    <x:col min="14083" max="14083" width="23.73046875" style="542" customWidth="1"/>
    <x:col min="14084" max="14084" width="12.796875" style="542" customWidth="1"/>
    <x:col min="14085" max="14085" width="12.265625" style="542" customWidth="1"/>
    <x:col min="14086" max="14086" width="13.73046875" style="542" customWidth="1"/>
    <x:col min="14087" max="14087" width="23.86328125" style="542" customWidth="1"/>
    <x:col min="14088" max="14088" width="19.06640625" style="542" customWidth="1"/>
    <x:col min="14089" max="14089" width="18.265625" style="542" customWidth="1"/>
    <x:col min="14090" max="14090" width="20.796875" style="542" customWidth="1"/>
    <x:col min="14091" max="14091" width="32.1328125" style="542" customWidth="1"/>
    <x:col min="14092" max="14336" width="9.06640625" style="542" customWidth="0"/>
    <x:col min="14337" max="14337" width="6.6640625" style="542" customWidth="1"/>
    <x:col min="14338" max="14338" width="56.796875" style="542" customWidth="1"/>
    <x:col min="14339" max="14339" width="23.73046875" style="542" customWidth="1"/>
    <x:col min="14340" max="14340" width="12.796875" style="542" customWidth="1"/>
    <x:col min="14341" max="14341" width="12.265625" style="542" customWidth="1"/>
    <x:col min="14342" max="14342" width="13.73046875" style="542" customWidth="1"/>
    <x:col min="14343" max="14343" width="23.86328125" style="542" customWidth="1"/>
    <x:col min="14344" max="14344" width="19.06640625" style="542" customWidth="1"/>
    <x:col min="14345" max="14345" width="18.265625" style="542" customWidth="1"/>
    <x:col min="14346" max="14346" width="20.796875" style="542" customWidth="1"/>
    <x:col min="14347" max="14347" width="32.1328125" style="542" customWidth="1"/>
    <x:col min="14348" max="14592" width="9.06640625" style="542" customWidth="0"/>
    <x:col min="14593" max="14593" width="6.6640625" style="542" customWidth="1"/>
    <x:col min="14594" max="14594" width="56.796875" style="542" customWidth="1"/>
    <x:col min="14595" max="14595" width="23.73046875" style="542" customWidth="1"/>
    <x:col min="14596" max="14596" width="12.796875" style="542" customWidth="1"/>
    <x:col min="14597" max="14597" width="12.265625" style="542" customWidth="1"/>
    <x:col min="14598" max="14598" width="13.73046875" style="542" customWidth="1"/>
    <x:col min="14599" max="14599" width="23.86328125" style="542" customWidth="1"/>
    <x:col min="14600" max="14600" width="19.06640625" style="542" customWidth="1"/>
    <x:col min="14601" max="14601" width="18.265625" style="542" customWidth="1"/>
    <x:col min="14602" max="14602" width="20.796875" style="542" customWidth="1"/>
    <x:col min="14603" max="14603" width="32.1328125" style="542" customWidth="1"/>
    <x:col min="14604" max="14848" width="9.06640625" style="542" customWidth="0"/>
    <x:col min="14849" max="14849" width="6.6640625" style="542" customWidth="1"/>
    <x:col min="14850" max="14850" width="56.796875" style="542" customWidth="1"/>
    <x:col min="14851" max="14851" width="23.73046875" style="542" customWidth="1"/>
    <x:col min="14852" max="14852" width="12.796875" style="542" customWidth="1"/>
    <x:col min="14853" max="14853" width="12.265625" style="542" customWidth="1"/>
    <x:col min="14854" max="14854" width="13.73046875" style="542" customWidth="1"/>
    <x:col min="14855" max="14855" width="23.86328125" style="542" customWidth="1"/>
    <x:col min="14856" max="14856" width="19.06640625" style="542" customWidth="1"/>
    <x:col min="14857" max="14857" width="18.265625" style="542" customWidth="1"/>
    <x:col min="14858" max="14858" width="20.796875" style="542" customWidth="1"/>
    <x:col min="14859" max="14859" width="32.1328125" style="542" customWidth="1"/>
    <x:col min="14860" max="15104" width="9.06640625" style="542" customWidth="0"/>
    <x:col min="15105" max="15105" width="6.6640625" style="542" customWidth="1"/>
    <x:col min="15106" max="15106" width="56.796875" style="542" customWidth="1"/>
    <x:col min="15107" max="15107" width="23.73046875" style="542" customWidth="1"/>
    <x:col min="15108" max="15108" width="12.796875" style="542" customWidth="1"/>
    <x:col min="15109" max="15109" width="12.265625" style="542" customWidth="1"/>
    <x:col min="15110" max="15110" width="13.73046875" style="542" customWidth="1"/>
    <x:col min="15111" max="15111" width="23.86328125" style="542" customWidth="1"/>
    <x:col min="15112" max="15112" width="19.06640625" style="542" customWidth="1"/>
    <x:col min="15113" max="15113" width="18.265625" style="542" customWidth="1"/>
    <x:col min="15114" max="15114" width="20.796875" style="542" customWidth="1"/>
    <x:col min="15115" max="15115" width="32.1328125" style="542" customWidth="1"/>
    <x:col min="15116" max="15360" width="9.06640625" style="542" customWidth="0"/>
    <x:col min="15361" max="15361" width="6.6640625" style="542" customWidth="1"/>
    <x:col min="15362" max="15362" width="56.796875" style="542" customWidth="1"/>
    <x:col min="15363" max="15363" width="23.73046875" style="542" customWidth="1"/>
    <x:col min="15364" max="15364" width="12.796875" style="542" customWidth="1"/>
    <x:col min="15365" max="15365" width="12.265625" style="542" customWidth="1"/>
    <x:col min="15366" max="15366" width="13.73046875" style="542" customWidth="1"/>
    <x:col min="15367" max="15367" width="23.86328125" style="542" customWidth="1"/>
    <x:col min="15368" max="15368" width="19.06640625" style="542" customWidth="1"/>
    <x:col min="15369" max="15369" width="18.265625" style="542" customWidth="1"/>
    <x:col min="15370" max="15370" width="20.796875" style="542" customWidth="1"/>
    <x:col min="15371" max="15371" width="32.1328125" style="542" customWidth="1"/>
    <x:col min="15372" max="15616" width="9.06640625" style="542" customWidth="0"/>
    <x:col min="15617" max="15617" width="6.6640625" style="542" customWidth="1"/>
    <x:col min="15618" max="15618" width="56.796875" style="542" customWidth="1"/>
    <x:col min="15619" max="15619" width="23.73046875" style="542" customWidth="1"/>
    <x:col min="15620" max="15620" width="12.796875" style="542" customWidth="1"/>
    <x:col min="15621" max="15621" width="12.265625" style="542" customWidth="1"/>
    <x:col min="15622" max="15622" width="13.73046875" style="542" customWidth="1"/>
    <x:col min="15623" max="15623" width="23.86328125" style="542" customWidth="1"/>
    <x:col min="15624" max="15624" width="19.06640625" style="542" customWidth="1"/>
    <x:col min="15625" max="15625" width="18.265625" style="542" customWidth="1"/>
    <x:col min="15626" max="15626" width="20.796875" style="542" customWidth="1"/>
    <x:col min="15627" max="15627" width="32.1328125" style="542" customWidth="1"/>
    <x:col min="15628" max="15872" width="9.06640625" style="542" customWidth="0"/>
    <x:col min="15873" max="15873" width="6.6640625" style="542" customWidth="1"/>
    <x:col min="15874" max="15874" width="56.796875" style="542" customWidth="1"/>
    <x:col min="15875" max="15875" width="23.73046875" style="542" customWidth="1"/>
    <x:col min="15876" max="15876" width="12.796875" style="542" customWidth="1"/>
    <x:col min="15877" max="15877" width="12.265625" style="542" customWidth="1"/>
    <x:col min="15878" max="15878" width="13.73046875" style="542" customWidth="1"/>
    <x:col min="15879" max="15879" width="23.86328125" style="542" customWidth="1"/>
    <x:col min="15880" max="15880" width="19.06640625" style="542" customWidth="1"/>
    <x:col min="15881" max="15881" width="18.265625" style="542" customWidth="1"/>
    <x:col min="15882" max="15882" width="20.796875" style="542" customWidth="1"/>
    <x:col min="15883" max="15883" width="32.1328125" style="542" customWidth="1"/>
    <x:col min="15884" max="16128" width="9.06640625" style="542" customWidth="0"/>
    <x:col min="16129" max="16129" width="6.6640625" style="542" customWidth="1"/>
    <x:col min="16130" max="16130" width="56.796875" style="542" customWidth="1"/>
    <x:col min="16131" max="16131" width="23.73046875" style="542" customWidth="1"/>
    <x:col min="16132" max="16132" width="12.796875" style="542" customWidth="1"/>
    <x:col min="16133" max="16133" width="12.265625" style="542" customWidth="1"/>
    <x:col min="16134" max="16134" width="13.73046875" style="542" customWidth="1"/>
    <x:col min="16135" max="16135" width="23.86328125" style="542" customWidth="1"/>
    <x:col min="16136" max="16136" width="19.06640625" style="542" customWidth="1"/>
    <x:col min="16137" max="16137" width="18.265625" style="542" customWidth="1"/>
    <x:col min="16138" max="16138" width="20.796875" style="542" customWidth="1"/>
    <x:col min="16139" max="16139" width="32.1328125" style="542" customWidth="1"/>
    <x:col min="16140" max="16384" width="9.06640625" style="542" customWidth="0"/>
  </x:cols>
  <x:sheetData>
    <x:row r="1">
      <x:c r="A1" s="791" t="s">
        <x:v>580</x:v>
      </x:c>
      <x:c r="B1" s="791"/>
      <x:c r="C1" s="791"/>
      <x:c r="D1" s="791"/>
      <x:c r="E1" s="791"/>
      <x:c r="F1" s="791"/>
      <x:c r="G1" s="791"/>
      <x:c r="H1" s="791"/>
      <x:c r="I1" s="791"/>
      <x:c r="J1" s="791"/>
      <x:c r="K1" s="791"/>
    </x:row>
    <x:row r="2">
      <x:c r="A2" s="791" t="s">
        <x:v>581</x:v>
      </x:c>
      <x:c r="B2" s="791"/>
      <x:c r="C2" s="791"/>
      <x:c r="D2" s="791"/>
      <x:c r="E2" s="791"/>
      <x:c r="F2" s="791"/>
      <x:c r="G2" s="791"/>
      <x:c r="H2" s="791"/>
      <x:c r="I2" s="791"/>
      <x:c r="J2" s="791"/>
      <x:c r="K2" s="791"/>
    </x:row>
    <x:row r="3">
      <x:c r="A3" s="791" t="s">
        <x:v>46</x:v>
      </x:c>
      <x:c r="B3" s="791"/>
      <x:c r="C3" s="791"/>
      <x:c r="D3" s="791"/>
      <x:c r="E3" s="791"/>
      <x:c r="F3" s="791"/>
      <x:c r="G3" s="791"/>
      <x:c r="H3" s="791"/>
      <x:c r="I3" s="791"/>
      <x:c r="J3" s="791"/>
      <x:c r="K3" s="791"/>
    </x:row>
    <x:row r="4">
      <x:c r="A4" s="791" t="s">
        <x:v>582</x:v>
      </x:c>
      <x:c r="B4" s="791"/>
      <x:c r="C4" s="791"/>
      <x:c r="D4" s="791"/>
      <x:c r="E4" s="791"/>
      <x:c r="F4" s="791"/>
      <x:c r="G4" s="791"/>
      <x:c r="H4" s="791"/>
      <x:c r="I4" s="791"/>
      <x:c r="J4" s="791"/>
      <x:c r="K4" s="791"/>
    </x:row>
    <x:row r="5">
      <x:c r="A5" s="792" t="s">
        <x:v>47</x:v>
      </x:c>
      <x:c r="B5" s="792" t="s">
        <x:v>583</x:v>
      </x:c>
      <x:c r="C5" s="792" t="s">
        <x:v>584</x:v>
      </x:c>
      <x:c r="D5" s="792" t="s">
        <x:v>585</x:v>
      </x:c>
      <x:c r="E5" s="793" t="s">
        <x:v>586</x:v>
      </x:c>
      <x:c r="F5" s="793"/>
      <x:c r="G5" s="793" t="s">
        <x:v>587</x:v>
      </x:c>
      <x:c r="H5" s="793"/>
      <x:c r="I5" s="793"/>
      <x:c r="J5" s="543" t="s">
        <x:v>588</x:v>
      </x:c>
      <x:c r="K5" s="792" t="s">
        <x:v>589</x:v>
      </x:c>
      <x:c r="L5" s="544"/>
      <x:c r="M5" s="544"/>
      <x:c r="N5" s="544"/>
    </x:row>
    <x:row r="6">
      <x:c r="A6" s="792"/>
      <x:c r="B6" s="792"/>
      <x:c r="C6" s="792"/>
      <x:c r="D6" s="792"/>
      <x:c r="E6" s="545" t="s">
        <x:v>590</x:v>
      </x:c>
      <x:c r="F6" s="545" t="s">
        <x:v>591</x:v>
      </x:c>
      <x:c r="G6" s="545" t="s">
        <x:v>592</x:v>
      </x:c>
      <x:c r="H6" s="545" t="s">
        <x:v>592</x:v>
      </x:c>
      <x:c r="I6" s="545" t="s">
        <x:v>591</x:v>
      </x:c>
      <x:c r="J6" s="796" t="s">
        <x:v>593</x:v>
      </x:c>
      <x:c r="K6" s="792"/>
      <x:c r="L6" s="544"/>
      <x:c r="M6" s="544"/>
      <x:c r="N6" s="544"/>
    </x:row>
    <x:row r="7">
      <x:c r="A7" s="793"/>
      <x:c r="B7" s="793"/>
      <x:c r="C7" s="793"/>
      <x:c r="D7" s="793"/>
      <x:c r="E7" s="546" t="s">
        <x:v>594</x:v>
      </x:c>
      <x:c r="F7" s="546" t="s">
        <x:v>594</x:v>
      </x:c>
      <x:c r="G7" s="546" t="s">
        <x:v>593</x:v>
      </x:c>
      <x:c r="H7" s="546" t="s">
        <x:v>594</x:v>
      </x:c>
      <x:c r="I7" s="546" t="s">
        <x:v>594</x:v>
      </x:c>
      <x:c r="J7" s="797"/>
      <x:c r="K7" s="793"/>
      <x:c r="L7" s="544"/>
      <x:c r="M7" s="544"/>
      <x:c r="N7" s="544"/>
    </x:row>
    <x:row r="8">
      <x:c r="A8" s="546">
        <x:v>1</x:v>
      </x:c>
      <x:c r="B8" s="546">
        <x:v>2</x:v>
      </x:c>
      <x:c r="C8" s="546">
        <x:v>3</x:v>
      </x:c>
      <x:c r="D8" s="546">
        <x:v>4</x:v>
      </x:c>
      <x:c r="E8" s="546">
        <x:v>5</x:v>
      </x:c>
      <x:c r="F8" s="546">
        <x:v>6</x:v>
      </x:c>
      <x:c r="G8" s="546">
        <x:v>7</x:v>
      </x:c>
      <x:c r="H8" s="546">
        <x:v>8</x:v>
      </x:c>
      <x:c r="I8" s="546">
        <x:v>9</x:v>
      </x:c>
      <x:c r="J8" s="546">
        <x:v>10</x:v>
      </x:c>
      <x:c r="K8" s="546">
        <x:v>11</x:v>
      </x:c>
      <x:c r="L8" s="544"/>
      <x:c r="M8" s="544"/>
      <x:c r="N8" s="544"/>
    </x:row>
    <x:row r="9">
      <x:c r="A9" s="547"/>
      <x:c r="B9" s="547"/>
      <x:c r="C9" s="547"/>
      <x:c r="D9" s="548" t="s">
        <x:v>595</x:v>
      </x:c>
      <x:c r="E9" s="548" t="s">
        <x:v>596</x:v>
      </x:c>
      <x:c r="F9" s="548" t="s">
        <x:v>597</x:v>
      </x:c>
      <x:c r="G9" s="548"/>
      <x:c r="H9" s="548" t="s">
        <x:v>598</x:v>
      </x:c>
      <x:c r="I9" s="548" t="s">
        <x:v>599</x:v>
      </x:c>
      <x:c r="J9" s="549" t="s">
        <x:v>600</x:v>
      </x:c>
      <x:c r="K9" s="547"/>
      <x:c r="L9" s="544"/>
      <x:c r="M9" s="544"/>
      <x:c r="N9" s="544"/>
    </x:row>
    <x:row r="10">
      <x:c r="A10" s="548" t="s">
        <x:v>438</x:v>
      </x:c>
      <x:c r="B10" s="547" t="s">
        <x:v>601</x:v>
      </x:c>
      <x:c r="C10" s="1528" t="n">
        <x:f>SUM(C11,C26,C41)</x:f>
        <x:v>17588768787</x:v>
      </x:c>
      <x:c r="D10" s="1514" t="n">
        <x:f>IF(C10=0,"",100)</x:f>
        <x:v>100</x:v>
      </x:c>
      <x:c r="E10" s="550" t="n">
        <x:f>IFERROR((C11*E11+C26*E26+C41*E41)/C10,"")</x:f>
        <x:v>93.22614076187867</x:v>
      </x:c>
      <x:c r="F10" s="1514" t="n">
        <x:f>IF(OR(D10="",E10=""),"",D10*E10/100)</x:f>
        <x:v>93.22614076187867</x:v>
      </x:c>
      <x:c r="G10" s="1528" t="n">
        <x:f>SUM(G11,G26,G41)</x:f>
        <x:v>15986004220</x:v>
      </x:c>
      <x:c r="H10" s="1514" t="n">
        <x:f t="shared" ref="H10" si="0">IF(C10=0,"",G10/C10*100)</x:f>
        <x:v>90.88756816119718</x:v>
      </x:c>
      <x:c r="I10" s="1514" t="n">
        <x:f>IF(OR(H10="",D10=""),"",H10*D10/100)</x:f>
        <x:v>90.88756816119718</x:v>
      </x:c>
      <x:c r="J10" s="1528" t="n">
        <x:f>IF(OR(C10="",G10=""),"",C10-G10)</x:f>
        <x:v>1602764567</x:v>
      </x:c>
      <x:c r="K10" s="547" t="s">
        <x:v>602</x:v>
      </x:c>
      <x:c r="L10" s="544"/>
      <x:c r="M10" s="544"/>
      <x:c r="N10" s="544"/>
    </x:row>
    <x:row r="11">
      <x:c r="A11" s="591" t="s">
        <x:v>603</x:v>
      </x:c>
      <x:c r="B11" s="555" t="s">
        <x:v>102</x:v>
      </x:c>
      <x:c r="C11" s="1529" t="n">
        <x:f>SUM(C12:C24)</x:f>
        <x:v>8800000000</x:v>
      </x:c>
      <x:c r="D11" s="1515" t="n">
        <x:f>IF($C$10=0,"",C11/$C$10*100)</x:f>
        <x:v>50.03192722906308</x:v>
      </x:c>
      <x:c r="E11" s="556" t="n">
        <x:f>IFERROR(SUMPRODUCT(C12:C24,E12:E24)/C11,"")</x:f>
        <x:v>92.22727272727273</x:v>
      </x:c>
      <x:c r="F11" s="1515" t="n">
        <x:f>IF(OR(D11="",E11=""),"",D11*E11/100)</x:f>
        <x:v>46.143081976258635</x:v>
      </x:c>
      <x:c r="G11" s="1529" t="n">
        <x:f>SUM(G12:G24)</x:f>
        <x:v>8096000000</x:v>
      </x:c>
      <x:c r="H11" s="1515" t="n">
        <x:f>IF(OR(C11="",G11="",C11=0),"",G11/C11*100)</x:f>
        <x:v>92</x:v>
      </x:c>
      <x:c r="I11" s="1515" t="n">
        <x:f>IF(OR(H11="",D11=""),"",H11*D11/100)</x:f>
        <x:v>46.02937305073803</x:v>
      </x:c>
      <x:c r="J11" s="1529" t="n">
        <x:f>IF(OR(C11="",G11=""),"",C11-G11)</x:f>
        <x:v>704000000</x:v>
      </x:c>
      <x:c r="K11" s="558"/>
      <x:c r="L11" s="544"/>
      <x:c r="M11" s="544"/>
      <x:c r="N11" s="544"/>
    </x:row>
    <x:row r="12">
      <x:c r="A12" s="560"/>
      <x:c r="B12" s="561" t="s">
        <x:v>410</x:v>
      </x:c>
      <x:c r="C12" s="1530">
        <x:v>4850000000</x:v>
      </x:c>
      <x:c r="D12" s="1516" t="n">
        <x:f>IF(OR($C$11=0,C12=""),"",C12/$C$11*100)</x:f>
        <x:v>55.11363636363637</x:v>
      </x:c>
      <x:c r="E12" s="563" t="n">
        <x:f t="shared" ref="E12:E24" si="1">I12/D12*100</x:f>
        <x:v>92</x:v>
      </x:c>
      <x:c r="F12" s="1516" t="n">
        <x:f t="shared" ref="F12:F24" si="2">IF(OR(D12="",E12=""),"",D12*E12/100)</x:f>
        <x:v>50.70454545454546</x:v>
      </x:c>
      <x:c r="G12" s="1530">
        <x:v>4462000000</x:v>
      </x:c>
      <x:c r="H12" s="1516" t="n">
        <x:f t="shared" ref="H12:H24" si="3">IF(OR(C12="",G12="",C12=0),"",G12/C12*100)</x:f>
        <x:v>92</x:v>
      </x:c>
      <x:c r="I12" s="1516" t="n">
        <x:f t="shared" ref="I12:I24" si="4">IF(OR(H12="",D12=""),"",H12*D12/100)</x:f>
        <x:v>50.70454545454546</x:v>
      </x:c>
      <x:c r="J12" s="1530" t="n">
        <x:f t="shared" ref="J12:J24" si="5">IF(OR(C12="",G12=""),"",C12-G12)</x:f>
        <x:v>388000000</x:v>
      </x:c>
      <x:c r="K12" s="564" t="s">
        <x:v>604</x:v>
      </x:c>
      <x:c r="L12" s="544"/>
      <x:c r="M12" s="544"/>
      <x:c r="N12" s="544"/>
    </x:row>
    <x:row r="13">
      <x:c r="A13" s="565"/>
      <x:c r="B13" s="566" t="s">
        <x:v>411</x:v>
      </x:c>
      <x:c r="C13" s="1531">
        <x:v>300000000</x:v>
      </x:c>
      <x:c r="D13" s="1517" t="n">
        <x:f>IF(OR($C$11=0,C13=""),"",C13/$C$11*100)</x:f>
        <x:v>3.4090909090909087</x:v>
      </x:c>
      <x:c r="E13" s="569">
        <x:f t="shared" si="1"/>
        <x:v>92</x:v>
      </x:c>
      <x:c r="F13" s="1517" t="n">
        <x:f t="shared" si="2">IF(OR(D13="",E13=""),"",D13*E13/100)</x:f>
        <x:v>3.1363636363636362</x:v>
      </x:c>
      <x:c r="G13" s="1531">
        <x:v>276000000</x:v>
      </x:c>
      <x:c r="H13" s="1517" t="n">
        <x:f t="shared" si="3">IF(OR(C13="",G13="",C13=0),"",G13/C13*100)</x:f>
        <x:v>92</x:v>
      </x:c>
      <x:c r="I13" s="1517" t="n">
        <x:f t="shared" si="4">IF(OR(H13="",D13=""),"",H13*D13/100)</x:f>
        <x:v>3.1363636363636362</x:v>
      </x:c>
      <x:c r="J13" s="1531" t="n">
        <x:f t="shared" si="5">IF(OR(C13="",G13=""),"",C13-G13)</x:f>
        <x:v>24000000</x:v>
      </x:c>
      <x:c r="K13" s="564" t="s">
        <x:v>604</x:v>
      </x:c>
      <x:c r="L13" s="544"/>
      <x:c r="M13" s="544"/>
      <x:c r="N13" s="544"/>
    </x:row>
    <x:row r="14">
      <x:c r="A14" s="565"/>
      <x:c r="B14" s="566" t="s">
        <x:v>412</x:v>
      </x:c>
      <x:c r="C14" s="1531">
        <x:v>250000000</x:v>
      </x:c>
      <x:c r="D14" s="1517" t="n">
        <x:f>IF(OR($C$11=0,C14=""),"",C14/$C$11*100)</x:f>
        <x:v>2.840909090909091</x:v>
      </x:c>
      <x:c r="E14" s="569">
        <x:v>96</x:v>
      </x:c>
      <x:c r="F14" s="1517" t="n">
        <x:f t="shared" si="2">IF(OR(D14="",E14=""),"",D14*E14/100)</x:f>
        <x:v>2.7272727272727275</x:v>
      </x:c>
      <x:c r="G14" s="1531">
        <x:v>230000000</x:v>
      </x:c>
      <x:c r="H14" s="1517" t="n">
        <x:f t="shared" si="3">IF(OR(C14="",G14="",C14=0),"",G14/C14*100)</x:f>
        <x:v>92</x:v>
      </x:c>
      <x:c r="I14" s="1517" t="n">
        <x:f t="shared" si="4">IF(OR(H14="",D14=""),"",H14*D14/100)</x:f>
        <x:v>2.6136363636363638</x:v>
      </x:c>
      <x:c r="J14" s="1531" t="n">
        <x:f t="shared" si="5">IF(OR(C14="",G14=""),"",C14-G14)</x:f>
        <x:v>20000000</x:v>
      </x:c>
      <x:c r="K14" s="564" t="s">
        <x:v>604</x:v>
      </x:c>
      <x:c r="L14" s="544"/>
      <x:c r="M14" s="544"/>
      <x:c r="N14" s="544"/>
    </x:row>
    <x:row r="15">
      <x:c r="A15" s="565"/>
      <x:c r="B15" s="566" t="s">
        <x:v>413</x:v>
      </x:c>
      <x:c r="C15" s="1531">
        <x:v>350000000</x:v>
      </x:c>
      <x:c r="D15" s="1517" t="n">
        <x:f>IF(OR($C$11=0,C15=""),"",C15/$C$11*100)</x:f>
        <x:v>3.977272727272727</x:v>
      </x:c>
      <x:c r="E15" s="567">
        <x:f t="shared" si="1"/>
        <x:v>92</x:v>
      </x:c>
      <x:c r="F15" s="1517" t="n">
        <x:f t="shared" si="2">IF(OR(D15="",E15=""),"",D15*E15/100)</x:f>
        <x:v>3.6590909090909087</x:v>
      </x:c>
      <x:c r="G15" s="1531">
        <x:v>322000000</x:v>
      </x:c>
      <x:c r="H15" s="1517" t="n">
        <x:f t="shared" si="3">IF(OR(C15="",G15="",C15=0),"",G15/C15*100)</x:f>
        <x:v>92</x:v>
      </x:c>
      <x:c r="I15" s="1517" t="n">
        <x:f t="shared" si="4">IF(OR(H15="",D15=""),"",H15*D15/100)</x:f>
        <x:v>3.6590909090909087</x:v>
      </x:c>
      <x:c r="J15" s="1531" t="n">
        <x:f t="shared" si="5">IF(OR(C15="",G15=""),"",C15-G15)</x:f>
        <x:v>28000000</x:v>
      </x:c>
      <x:c r="K15" s="570" t="s">
        <x:v>604</x:v>
      </x:c>
      <x:c r="L15" s="544"/>
      <x:c r="M15" s="544"/>
      <x:c r="N15" s="544"/>
    </x:row>
    <x:row r="16">
      <x:c r="A16" s="565"/>
      <x:c r="B16" s="566" t="s">
        <x:v>414</x:v>
      </x:c>
      <x:c r="C16" s="1531">
        <x:v>125000000</x:v>
      </x:c>
      <x:c r="D16" s="1517" t="n">
        <x:f>IF(OR($C$11=0,C16=""),"",C16/$C$11*100)</x:f>
        <x:v>1.4204545454545454</x:v>
      </x:c>
      <x:c r="E16" s="569">
        <x:f t="shared" si="1"/>
        <x:v>92</x:v>
      </x:c>
      <x:c r="F16" s="1517" t="n">
        <x:f t="shared" si="2">IF(OR(D16="",E16=""),"",D16*E16/100)</x:f>
        <x:v>1.3068181818181819</x:v>
      </x:c>
      <x:c r="G16" s="1531">
        <x:v>115000000</x:v>
      </x:c>
      <x:c r="H16" s="1517" t="n">
        <x:f t="shared" si="3">IF(OR(C16="",G16="",C16=0),"",G16/C16*100)</x:f>
        <x:v>92</x:v>
      </x:c>
      <x:c r="I16" s="1517" t="n">
        <x:f t="shared" si="4">IF(OR(H16="",D16=""),"",H16*D16/100)</x:f>
        <x:v>1.3068181818181819</x:v>
      </x:c>
      <x:c r="J16" s="1531" t="n">
        <x:f t="shared" si="5">IF(OR(C16="",G16=""),"",C16-G16)</x:f>
        <x:v>10000000</x:v>
      </x:c>
      <x:c r="K16" s="564" t="s">
        <x:v>604</x:v>
      </x:c>
      <x:c r="L16" s="544"/>
      <x:c r="M16" s="544"/>
      <x:c r="N16" s="544"/>
    </x:row>
    <x:row r="17">
      <x:c r="A17" s="565"/>
      <x:c r="B17" s="571" t="s">
        <x:v>415</x:v>
      </x:c>
      <x:c r="C17" s="1531">
        <x:v>100000000</x:v>
      </x:c>
      <x:c r="D17" s="1517" t="n">
        <x:f>IF(OR($C$11=0,C17=""),"",C17/$C$11*100)</x:f>
        <x:v>1.1363636363636365</x:v>
      </x:c>
      <x:c r="E17" s="568">
        <x:f t="shared" si="1"/>
        <x:v>92</x:v>
      </x:c>
      <x:c r="F17" s="1517" t="n">
        <x:f t="shared" si="2">IF(OR(D17="",E17=""),"",D17*E17/100)</x:f>
        <x:v>1.0454545454545456</x:v>
      </x:c>
      <x:c r="G17" s="1531">
        <x:v>92000000</x:v>
      </x:c>
      <x:c r="H17" s="1517" t="n">
        <x:f t="shared" si="3">IF(OR(C17="",G17="",C17=0),"",G17/C17*100)</x:f>
        <x:v>92</x:v>
      </x:c>
      <x:c r="I17" s="1517" t="n">
        <x:f t="shared" si="4">IF(OR(H17="",D17=""),"",H17*D17/100)</x:f>
        <x:v>1.0454545454545456</x:v>
      </x:c>
      <x:c r="J17" s="1531" t="n">
        <x:f t="shared" si="5">IF(OR(C17="",G17=""),"",C17-G17)</x:f>
        <x:v>8000000</x:v>
      </x:c>
      <x:c r="K17" s="564" t="s">
        <x:v>604</x:v>
      </x:c>
      <x:c r="L17" s="544"/>
      <x:c r="M17" s="544"/>
      <x:c r="N17" s="544"/>
    </x:row>
    <x:row r="18">
      <x:c r="A18" s="565"/>
      <x:c r="B18" s="571" t="s">
        <x:v>605</x:v>
      </x:c>
      <x:c r="C18" s="1531">
        <x:v>75000000</x:v>
      </x:c>
      <x:c r="D18" s="1517" t="n">
        <x:f>IF(OR($C$11=0,C18=""),"",C18/$C$11*100)</x:f>
        <x:v>0.8522727272727272</x:v>
      </x:c>
      <x:c r="E18" s="567">
        <x:f t="shared" si="1"/>
        <x:v>92</x:v>
      </x:c>
      <x:c r="F18" s="1517" t="n">
        <x:f t="shared" si="2">IF(OR(D18="",E18=""),"",D18*E18/100)</x:f>
        <x:v>0.7840909090909091</x:v>
      </x:c>
      <x:c r="G18" s="1531">
        <x:v>69000000</x:v>
      </x:c>
      <x:c r="H18" s="1517" t="n">
        <x:f t="shared" si="3">IF(OR(C18="",G18="",C18=0),"",G18/C18*100)</x:f>
        <x:v>92</x:v>
      </x:c>
      <x:c r="I18" s="1517" t="n">
        <x:f t="shared" si="4">IF(OR(H18="",D18=""),"",H18*D18/100)</x:f>
        <x:v>0.7840909090909091</x:v>
      </x:c>
      <x:c r="J18" s="1531" t="n">
        <x:f t="shared" si="5">IF(OR(C18="",G18=""),"",C18-G18)</x:f>
        <x:v>6000000</x:v>
      </x:c>
      <x:c r="K18" s="564" t="s">
        <x:v>604</x:v>
      </x:c>
      <x:c r="L18" s="544"/>
      <x:c r="M18" s="544"/>
      <x:c r="N18" s="544"/>
    </x:row>
    <x:row r="19">
      <x:c r="A19" s="565"/>
      <x:c r="B19" s="572" t="s">
        <x:v>606</x:v>
      </x:c>
      <x:c r="C19" s="1531">
        <x:v>350000000</x:v>
      </x:c>
      <x:c r="D19" s="1517" t="n">
        <x:f>IF(OR($C$11=0,C19=""),"",C19/$C$11*100)</x:f>
        <x:v>3.977272727272727</x:v>
      </x:c>
      <x:c r="E19" s="567">
        <x:f t="shared" si="1"/>
        <x:v>92</x:v>
      </x:c>
      <x:c r="F19" s="1517" t="n">
        <x:f t="shared" si="2">IF(OR(D19="",E19=""),"",D19*E19/100)</x:f>
        <x:v>3.6590909090909087</x:v>
      </x:c>
      <x:c r="G19" s="1531">
        <x:v>322000000</x:v>
      </x:c>
      <x:c r="H19" s="1517" t="n">
        <x:f t="shared" si="3">IF(OR(C19="",G19="",C19=0),"",G19/C19*100)</x:f>
        <x:v>92</x:v>
      </x:c>
      <x:c r="I19" s="1517" t="n">
        <x:f t="shared" si="4">IF(OR(H19="",D19=""),"",H19*D19/100)</x:f>
        <x:v>3.6590909090909087</x:v>
      </x:c>
      <x:c r="J19" s="1531" t="n">
        <x:f t="shared" si="5">IF(OR(C19="",G19=""),"",C19-G19)</x:f>
        <x:v>28000000</x:v>
      </x:c>
      <x:c r="K19" s="564" t="s">
        <x:v>604</x:v>
      </x:c>
      <x:c r="L19" s="544"/>
      <x:c r="M19" s="544"/>
      <x:c r="N19" s="544"/>
    </x:row>
    <x:row r="20">
      <x:c r="A20" s="565"/>
      <x:c r="B20" s="571" t="s">
        <x:v>607</x:v>
      </x:c>
      <x:c r="C20" s="1531">
        <x:v>50000000</x:v>
      </x:c>
      <x:c r="D20" s="1517" t="n">
        <x:f>IF(OR($C$11=0,C20=""),"",C20/$C$11*100)</x:f>
        <x:v>0.5681818181818182</x:v>
      </x:c>
      <x:c r="E20" s="569">
        <x:f t="shared" si="1"/>
        <x:v>92</x:v>
      </x:c>
      <x:c r="F20" s="1517" t="n">
        <x:f t="shared" si="2">IF(OR(D20="",E20=""),"",D20*E20/100)</x:f>
        <x:v>0.5227272727272728</x:v>
      </x:c>
      <x:c r="G20" s="1531">
        <x:v>46000000</x:v>
      </x:c>
      <x:c r="H20" s="1517" t="n">
        <x:f t="shared" si="3">IF(OR(C20="",G20="",C20=0),"",G20/C20*100)</x:f>
        <x:v>92</x:v>
      </x:c>
      <x:c r="I20" s="1517" t="n">
        <x:f t="shared" si="4">IF(OR(H20="",D20=""),"",H20*D20/100)</x:f>
        <x:v>0.5227272727272728</x:v>
      </x:c>
      <x:c r="J20" s="1531" t="n">
        <x:f t="shared" si="5">IF(OR(C20="",G20=""),"",C20-G20)</x:f>
        <x:v>4000000</x:v>
      </x:c>
      <x:c r="K20" s="564" t="s">
        <x:v>604</x:v>
      </x:c>
      <x:c r="L20" s="544"/>
      <x:c r="M20" s="544"/>
      <x:c r="N20" s="544"/>
    </x:row>
    <x:row r="21">
      <x:c r="A21" s="565"/>
      <x:c r="B21" s="571" t="s">
        <x:v>608</x:v>
      </x:c>
      <x:c r="C21" s="1531">
        <x:v>250000000</x:v>
      </x:c>
      <x:c r="D21" s="1517" t="n">
        <x:f>IF(OR($C$11=0,C21=""),"",C21/$C$11*100)</x:f>
        <x:v>2.840909090909091</x:v>
      </x:c>
      <x:c r="E21" s="569">
        <x:v>96</x:v>
      </x:c>
      <x:c r="F21" s="1517" t="n">
        <x:f>IF(OR(D21="",E21=""),"",D21*E21/100)</x:f>
        <x:v>2.7272727272727275</x:v>
      </x:c>
      <x:c r="G21" s="1531">
        <x:v>230000000</x:v>
      </x:c>
      <x:c r="H21" s="1517" t="n">
        <x:f>IF(OR(C21="",G21="",C21=0),"",G21/C21*100)</x:f>
        <x:v>92</x:v>
      </x:c>
      <x:c r="I21" s="1517" t="n">
        <x:f>IF(OR(H21="",D21=""),"",H21*D21/100)</x:f>
        <x:v>2.6136363636363638</x:v>
      </x:c>
      <x:c r="J21" s="1531" t="n">
        <x:f>IF(OR(C21="",G21=""),"",C21-G21)</x:f>
        <x:v>20000000</x:v>
      </x:c>
      <x:c r="K21" s="564" t="s">
        <x:v>604</x:v>
      </x:c>
      <x:c r="L21" s="544"/>
      <x:c r="M21" s="544"/>
      <x:c r="N21" s="544"/>
    </x:row>
    <x:row r="22">
      <x:c r="A22" s="565"/>
      <x:c r="B22" s="571" t="s">
        <x:v>609</x:v>
      </x:c>
      <x:c r="C22" s="1531">
        <x:v>300000000</x:v>
      </x:c>
      <x:c r="D22" s="1517" t="n">
        <x:f>IF(OR($C$11=0,C22=""),"",C22/$C$11*100)</x:f>
        <x:v>3.4090909090909087</x:v>
      </x:c>
      <x:c r="E22" s="569">
        <x:f t="shared" si="1"/>
        <x:v>92</x:v>
      </x:c>
      <x:c r="F22" s="1517" t="n">
        <x:f t="shared" si="2">IF(OR(D22="",E22=""),"",D22*E22/100)</x:f>
        <x:v>3.1363636363636362</x:v>
      </x:c>
      <x:c r="G22" s="1531">
        <x:v>276000000</x:v>
      </x:c>
      <x:c r="H22" s="1517" t="n">
        <x:f t="shared" si="3">IF(OR(C22="",G22="",C22=0),"",G22/C22*100)</x:f>
        <x:v>92</x:v>
      </x:c>
      <x:c r="I22" s="1517" t="n">
        <x:f t="shared" si="4">IF(OR(H22="",D22=""),"",H22*D22/100)</x:f>
        <x:v>3.1363636363636362</x:v>
      </x:c>
      <x:c r="J22" s="1531" t="n">
        <x:f t="shared" si="5">IF(OR(C22="",G22=""),"",C22-G22)</x:f>
        <x:v>24000000</x:v>
      </x:c>
      <x:c r="K22" s="554" t="s">
        <x:v>604</x:v>
      </x:c>
      <x:c r="L22" s="544"/>
      <x:c r="M22" s="544"/>
      <x:c r="N22" s="544"/>
    </x:row>
    <x:row r="23">
      <x:c r="A23" s="565"/>
      <x:c r="B23" s="571" t="s">
        <x:v>610</x:v>
      </x:c>
      <x:c r="C23" s="1531">
        <x:v>1800000000</x:v>
      </x:c>
      <x:c r="D23" s="1517" t="n">
        <x:f>IF(OR($C$11=0,C23=""),"",C23/$C$11*100)</x:f>
        <x:v>20.454545454545457</x:v>
      </x:c>
      <x:c r="E23" s="569">
        <x:f t="shared" si="1"/>
        <x:v>92</x:v>
      </x:c>
      <x:c r="F23" s="1517" t="n">
        <x:f t="shared" si="2">IF(OR(D23="",E23=""),"",D23*E23/100)</x:f>
        <x:v>18.81818181818182</x:v>
      </x:c>
      <x:c r="G23" s="1531">
        <x:v>1656000000</x:v>
      </x:c>
      <x:c r="H23" s="1517" t="n">
        <x:f t="shared" si="3">IF(OR(C23="",G23="",C23=0),"",G23/C23*100)</x:f>
        <x:v>92</x:v>
      </x:c>
      <x:c r="I23" s="1517" t="n">
        <x:f t="shared" si="4">IF(OR(H23="",D23=""),"",H23*D23/100)</x:f>
        <x:v>18.81818181818182</x:v>
      </x:c>
      <x:c r="J23" s="1531" t="n">
        <x:f t="shared" si="5">IF(OR(C23="",G23=""),"",C23-G23)</x:f>
        <x:v>144000000</x:v>
      </x:c>
      <x:c r="K23" s="554" t="s">
        <x:v>604</x:v>
      </x:c>
      <x:c r="L23" s="544"/>
      <x:c r="M23" s="544"/>
      <x:c r="N23" s="544"/>
    </x:row>
    <x:row r="24">
      <x:c r="A24" s="565"/>
      <x:c r="B24" s="571" t="s">
        <x:v>418</x:v>
      </x:c>
      <x:c r="C24" s="1532">
        <x:v>0</x:v>
      </x:c>
      <x:c r="D24" s="1518" t="str">
        <x:f>IF(OR($C$11=0,C24=""),"",C24/$C$11*100)</x:f>
      </x:c>
      <x:c r="E24" s="574" t="str">
        <x:f t="shared" si="1">IF(OR(C24="",C24=0),"",E24/C24*100)</x:f>
      </x:c>
      <x:c r="F24" s="1518" t="str">
        <x:f t="shared" si="2">IF(OR(C24="",D24="",C24=0),"",D24*E24/100)</x:f>
      </x:c>
      <x:c r="G24" s="1532">
        <x:v>0</x:v>
      </x:c>
      <x:c r="H24" s="1518" t="str">
        <x:f t="shared" si="3">IF(OR(C24="",C24=0),"",G24/C24*100)</x:f>
      </x:c>
      <x:c r="I24" s="1518" t="str">
        <x:f t="shared" si="4">IF(OR(H24="",D24=""),"",H24*D24/100)</x:f>
      </x:c>
      <x:c r="J24" s="1532" t="str">
        <x:f t="shared" si="5">IF(OR(C24="",G24=""),"",C24-G24)</x:f>
      </x:c>
      <x:c r="K24" s="564" t="s">
        <x:v>611</x:v>
      </x:c>
      <x:c r="L24" s="544"/>
      <x:c r="M24" s="544"/>
      <x:c r="N24" s="544"/>
    </x:row>
    <x:row r="25">
      <x:c r="A25" s="575"/>
      <x:c r="B25" s="576"/>
      <x:c r="C25" s="1532"/>
      <x:c r="D25" s="1518"/>
      <x:c r="E25" s="554"/>
      <x:c r="F25" s="1518"/>
      <x:c r="G25" s="1532"/>
      <x:c r="H25" s="1518"/>
      <x:c r="I25" s="1518"/>
      <x:c r="J25" s="1532"/>
      <x:c r="K25" s="554"/>
      <x:c r="L25" s="544"/>
      <x:c r="M25" s="544"/>
      <x:c r="N25" s="544"/>
    </x:row>
    <x:row r="26">
      <x:c r="A26" s="559">
        <x:v>2</x:v>
      </x:c>
      <x:c r="B26" s="579" t="s">
        <x:v>84</x:v>
      </x:c>
      <x:c r="C26" s="1529">
        <x:v>6800000000</x:v>
      </x:c>
      <x:c r="D26" s="1515" t="n">
        <x:f>IF($C$10=0,"",C26/$C$10*100)</x:f>
        <x:v>38.661034677003286</x:v>
      </x:c>
      <x:c r="E26" s="580">
        <x:v>94</x:v>
      </x:c>
      <x:c r="F26" s="1515" t="n">
        <x:f>IF(OR(D26="",E26=""),"",D26*E26/100)</x:f>
        <x:v>36.34137259638309</x:v>
      </x:c>
      <x:c r="G26" s="1529">
        <x:v>6120000000</x:v>
      </x:c>
      <x:c r="H26" s="1515" t="n">
        <x:f>IF(OR(C26="",G26="",C26=0),"",G26/C26*100)</x:f>
        <x:v>90</x:v>
      </x:c>
      <x:c r="I26" s="1515" t="n">
        <x:f>IF(OR(H26="",D26=""),"",H26*D26/100)</x:f>
        <x:v>34.79493120930296</x:v>
      </x:c>
      <x:c r="J26" s="1529" t="n">
        <x:f>IF(OR(C26="",G26=""),"",C26-G26)</x:f>
        <x:v>680000000</x:v>
      </x:c>
      <x:c r="K26" s="558" t="s">
        <x:v>612</x:v>
      </x:c>
      <x:c r="L26" s="544"/>
      <x:c r="M26" s="544"/>
      <x:c r="N26" s="544"/>
    </x:row>
    <x:row r="27">
      <x:c r="A27" s="560"/>
      <x:c r="B27" s="577" t="s">
        <x:v>112</x:v>
      </x:c>
      <x:c r="C27" s="1530">
        <x:v>680000000</x:v>
      </x:c>
      <x:c r="D27" s="1519" t="n">
        <x:f>IF(OR($C$26=0,C27=""),"",C27/$C$26*100)</x:f>
        <x:v>10</x:v>
      </x:c>
      <x:c r="E27" s="553" t="n">
        <x:f t="shared" ref="E27:E38" si="6">I27/D27*100</x:f>
        <x:v>90</x:v>
      </x:c>
      <x:c r="F27" s="1519" t="n">
        <x:f t="shared" ref="F27:F37" si="7">IF(OR(D27="",E27=""),"",D27*E27/100)</x:f>
        <x:v>9</x:v>
      </x:c>
      <x:c r="G27" s="1530">
        <x:v>612000000</x:v>
      </x:c>
      <x:c r="H27" s="1519" t="n">
        <x:f t="shared" ref="H27:H38" si="8">IF(OR(C27="",G27="",C27=0),"",G27/C27*100)</x:f>
        <x:v>90</x:v>
      </x:c>
      <x:c r="I27" s="1519" t="n">
        <x:f t="shared" ref="I27:I38" si="9">IF(OR(H27="",D27=""),"",H27*D27/100)</x:f>
        <x:v>9</x:v>
      </x:c>
      <x:c r="J27" s="1540" t="n">
        <x:f t="shared" ref="J27:J38" si="10">IF(OR(C27="",G27=""),"",C27-G27)</x:f>
        <x:v>68000000</x:v>
      </x:c>
      <x:c r="K27" s="578" t="s">
        <x:v>613</x:v>
      </x:c>
      <x:c r="L27" s="544"/>
      <x:c r="M27" s="544"/>
      <x:c r="N27" s="544"/>
    </x:row>
    <x:row r="28">
      <x:c r="A28" s="565"/>
      <x:c r="B28" s="571" t="s">
        <x:v>209</x:v>
      </x:c>
      <x:c r="C28" s="1531">
        <x:v>1360000000</x:v>
      </x:c>
      <x:c r="D28" s="1518" t="n">
        <x:f>IF(OR($C$26=0,C28=""),"",C28/$C$26*100)</x:f>
        <x:v>20</x:v>
      </x:c>
      <x:c r="E28" s="574">
        <x:f t="shared" si="6"/>
        <x:v>90</x:v>
      </x:c>
      <x:c r="F28" s="1518" t="n">
        <x:f t="shared" si="7">IF(OR(D28="",E28=""),"",D28*E28/100)</x:f>
        <x:v>18</x:v>
      </x:c>
      <x:c r="G28" s="1531">
        <x:v>1224000000</x:v>
      </x:c>
      <x:c r="H28" s="1518" t="n">
        <x:f t="shared" si="8">IF(OR(C28="",G28="",C28=0),"",G28/C28*100)</x:f>
        <x:v>90</x:v>
      </x:c>
      <x:c r="I28" s="1518" t="n">
        <x:f t="shared" si="9">IF(OR(H28="",D28=""),"",H28*D28/100)</x:f>
        <x:v>18</x:v>
      </x:c>
      <x:c r="J28" s="1532" t="n">
        <x:f t="shared" si="10">IF(OR(C28="",G28=""),"",C28-G28)</x:f>
        <x:v>136000000</x:v>
      </x:c>
      <x:c r="K28" s="564" t="s">
        <x:v>613</x:v>
      </x:c>
      <x:c r="L28" s="544"/>
      <x:c r="M28" s="544"/>
      <x:c r="N28" s="544"/>
    </x:row>
    <x:row r="29">
      <x:c r="A29" s="565"/>
      <x:c r="B29" s="572" t="s">
        <x:v>127</x:v>
      </x:c>
      <x:c r="C29" s="1531">
        <x:v>1224000000</x:v>
      </x:c>
      <x:c r="D29" s="1518" t="n">
        <x:f>IF(OR($C$26=0,C29=""),"",C29/$C$26*100)</x:f>
        <x:v>18</x:v>
      </x:c>
      <x:c r="E29" s="574">
        <x:f t="shared" si="6"/>
        <x:v>89.999999999999986</x:v>
      </x:c>
      <x:c r="F29" s="1518" t="n">
        <x:f t="shared" si="7">IF(OR(D29="",E29=""),"",D29*E29/100)</x:f>
        <x:v>16.2</x:v>
      </x:c>
      <x:c r="G29" s="1531">
        <x:v>1101600000</x:v>
      </x:c>
      <x:c r="H29" s="1518" t="n">
        <x:f t="shared" si="8">IF(OR(C29="",G29="",C29=0),"",G29/C29*100)</x:f>
        <x:v>90</x:v>
      </x:c>
      <x:c r="I29" s="1518" t="n">
        <x:f t="shared" si="9">IF(OR(H29="",D29=""),"",H29*D29/100)</x:f>
        <x:v>16.2</x:v>
      </x:c>
      <x:c r="J29" s="1532" t="n">
        <x:f t="shared" si="10">IF(OR(C29="",G29=""),"",C29-G29)</x:f>
        <x:v>122400000</x:v>
      </x:c>
      <x:c r="K29" s="564" t="s">
        <x:v>613</x:v>
      </x:c>
      <x:c r="L29" s="544"/>
      <x:c r="M29" s="544"/>
      <x:c r="N29" s="544"/>
    </x:row>
    <x:row r="30">
      <x:c r="A30" s="565"/>
      <x:c r="B30" s="572" t="s">
        <x:v>114</x:v>
      </x:c>
      <x:c r="C30" s="1531">
        <x:v>816000000</x:v>
      </x:c>
      <x:c r="D30" s="1518" t="n">
        <x:f>IF(OR($C$26=0,C30=""),"",C30/$C$26*100)</x:f>
        <x:v>12</x:v>
      </x:c>
      <x:c r="E30" s="574">
        <x:f t="shared" si="6"/>
        <x:v>90</x:v>
      </x:c>
      <x:c r="F30" s="1518" t="n">
        <x:f t="shared" si="7">IF(OR(D30="",E30=""),"",D30*E30/100)</x:f>
        <x:v>10.8</x:v>
      </x:c>
      <x:c r="G30" s="1531">
        <x:v>734400000</x:v>
      </x:c>
      <x:c r="H30" s="1518" t="n">
        <x:f t="shared" si="8">IF(OR(C30="",G30="",C30=0),"",G30/C30*100)</x:f>
        <x:v>90</x:v>
      </x:c>
      <x:c r="I30" s="1518" t="n">
        <x:f t="shared" si="9">IF(OR(H30="",D30=""),"",H30*D30/100)</x:f>
        <x:v>10.8</x:v>
      </x:c>
      <x:c r="J30" s="1532" t="n">
        <x:f t="shared" si="10">IF(OR(C30="",G30=""),"",C30-G30)</x:f>
        <x:v>81600000</x:v>
      </x:c>
      <x:c r="K30" s="564" t="s">
        <x:v>613</x:v>
      </x:c>
      <x:c r="L30" s="544"/>
      <x:c r="M30" s="544"/>
      <x:c r="N30" s="544"/>
    </x:row>
    <x:row r="31">
      <x:c r="A31" s="565"/>
      <x:c r="B31" s="572" t="s">
        <x:v>213</x:v>
      </x:c>
      <x:c r="C31" s="1531">
        <x:v>544000000</x:v>
      </x:c>
      <x:c r="D31" s="1518" t="n">
        <x:f>IF(OR($C$26=0,C31=""),"",C31/$C$26*100)</x:f>
        <x:v>8</x:v>
      </x:c>
      <x:c r="E31" s="573">
        <x:f t="shared" si="6"/>
        <x:v>90</x:v>
      </x:c>
      <x:c r="F31" s="1518" t="n">
        <x:f t="shared" si="7">IF(OR(D31="",E31=""),"",D31*E31/100)</x:f>
        <x:v>7.2</x:v>
      </x:c>
      <x:c r="G31" s="1531">
        <x:v>489600000</x:v>
      </x:c>
      <x:c r="H31" s="1518" t="n">
        <x:f t="shared" si="8">IF(OR(C31="",G31="",C31=0),"",G31/C31*100)</x:f>
        <x:v>90</x:v>
      </x:c>
      <x:c r="I31" s="1518" t="n">
        <x:f t="shared" si="9">IF(OR(H31="",D31=""),"",H31*D31/100)</x:f>
        <x:v>7.2</x:v>
      </x:c>
      <x:c r="J31" s="1532" t="n">
        <x:f t="shared" si="10">IF(OR(C31="",G31=""),"",C31-G31)</x:f>
        <x:v>54400000</x:v>
      </x:c>
      <x:c r="K31" s="564" t="s">
        <x:v>613</x:v>
      </x:c>
      <x:c r="L31" s="544"/>
      <x:c r="M31" s="544"/>
      <x:c r="N31" s="544"/>
    </x:row>
    <x:row r="32">
      <x:c r="A32" s="565"/>
      <x:c r="B32" s="572" t="s">
        <x:v>129</x:v>
      </x:c>
      <x:c r="C32" s="1531">
        <x:v>544000000</x:v>
      </x:c>
      <x:c r="D32" s="1518" t="n">
        <x:f>IF(OR($C$26=0,C32=""),"",C32/$C$26*100)</x:f>
        <x:v>8</x:v>
      </x:c>
      <x:c r="E32" s="574">
        <x:f t="shared" si="6"/>
        <x:v>90</x:v>
      </x:c>
      <x:c r="F32" s="1518" t="n">
        <x:f t="shared" si="7">IF(OR(D32="",E32=""),"",D32*E32/100)</x:f>
        <x:v>7.2</x:v>
      </x:c>
      <x:c r="G32" s="1531">
        <x:v>489600000</x:v>
      </x:c>
      <x:c r="H32" s="1518" t="n">
        <x:f t="shared" si="8">IF(OR(C32="",G32="",C32=0),"",G32/C32*100)</x:f>
        <x:v>90</x:v>
      </x:c>
      <x:c r="I32" s="1518" t="n">
        <x:f t="shared" si="9">IF(OR(H32="",D32=""),"",H32*D32/100)</x:f>
        <x:v>7.2</x:v>
      </x:c>
      <x:c r="J32" s="1532" t="n">
        <x:f t="shared" si="10">IF(OR(C32="",G32=""),"",C32-G32)</x:f>
        <x:v>54400000</x:v>
      </x:c>
      <x:c r="K32" s="564" t="s">
        <x:v>613</x:v>
      </x:c>
      <x:c r="L32" s="544"/>
      <x:c r="M32" s="544"/>
      <x:c r="N32" s="544"/>
    </x:row>
    <x:row r="33">
      <x:c r="A33" s="565"/>
      <x:c r="B33" s="572" t="s">
        <x:v>119</x:v>
      </x:c>
      <x:c r="C33" s="1531">
        <x:v>272000000</x:v>
      </x:c>
      <x:c r="D33" s="1518" t="n">
        <x:f>IF(OR($C$26=0,C33=""),"",C33/$C$26*100)</x:f>
        <x:v>4</x:v>
      </x:c>
      <x:c r="E33" s="574">
        <x:f t="shared" si="6"/>
        <x:v>90</x:v>
      </x:c>
      <x:c r="F33" s="1518" t="n">
        <x:f t="shared" si="7">IF(OR(D33="",E33=""),"",D33*E33/100)</x:f>
        <x:v>3.6</x:v>
      </x:c>
      <x:c r="G33" s="1531">
        <x:v>244800000</x:v>
      </x:c>
      <x:c r="H33" s="1518" t="n">
        <x:f t="shared" si="8">IF(OR(C33="",G33="",C33=0),"",G33/C33*100)</x:f>
        <x:v>90</x:v>
      </x:c>
      <x:c r="I33" s="1518" t="n">
        <x:f t="shared" si="9">IF(OR(H33="",D33=""),"",H33*D33/100)</x:f>
        <x:v>3.6</x:v>
      </x:c>
      <x:c r="J33" s="1532" t="n">
        <x:f t="shared" si="10">IF(OR(C33="",G33=""),"",C33-G33)</x:f>
        <x:v>27200000</x:v>
      </x:c>
      <x:c r="K33" s="564" t="s">
        <x:v>613</x:v>
      </x:c>
      <x:c r="L33" s="544"/>
      <x:c r="M33" s="544"/>
      <x:c r="N33" s="544"/>
    </x:row>
    <x:row r="34" ht="25.5">
      <x:c r="A34" s="565"/>
      <x:c r="B34" s="572" t="s">
        <x:v>614</x:v>
      </x:c>
      <x:c r="C34" s="1531">
        <x:v>272000000</x:v>
      </x:c>
      <x:c r="D34" s="1518" t="n">
        <x:f>IF(OR($C$26=0,C34=""),"",C34/$C$26*100)</x:f>
        <x:v>4</x:v>
      </x:c>
      <x:c r="E34" s="574">
        <x:f t="shared" si="6"/>
        <x:v>90</x:v>
      </x:c>
      <x:c r="F34" s="1518" t="n">
        <x:f t="shared" si="7">IF(OR(D34="",E34=""),"",D34*E34/100)</x:f>
        <x:v>3.6</x:v>
      </x:c>
      <x:c r="G34" s="1531">
        <x:v>244800000</x:v>
      </x:c>
      <x:c r="H34" s="1518" t="n">
        <x:f t="shared" si="8">IF(OR(C34="",G34="",C34=0),"",G34/C34*100)</x:f>
        <x:v>90</x:v>
      </x:c>
      <x:c r="I34" s="1518" t="n">
        <x:f t="shared" si="9">IF(OR(H34="",D34=""),"",H34*D34/100)</x:f>
        <x:v>3.6</x:v>
      </x:c>
      <x:c r="J34" s="1532" t="n">
        <x:f t="shared" si="10">IF(OR(C34="",G34=""),"",C34-G34)</x:f>
        <x:v>27200000</x:v>
      </x:c>
      <x:c r="K34" s="564" t="s">
        <x:v>613</x:v>
      </x:c>
      <x:c r="L34" s="544"/>
      <x:c r="M34" s="544"/>
      <x:c r="N34" s="544"/>
    </x:row>
    <x:row r="35">
      <x:c r="A35" s="565"/>
      <x:c r="B35" s="572" t="s">
        <x:v>134</x:v>
      </x:c>
      <x:c r="C35" s="1531">
        <x:v>340000000</x:v>
      </x:c>
      <x:c r="D35" s="1518" t="n">
        <x:f>IF(OR($C$26=0,C35=""),"",C35/$C$26*100)</x:f>
        <x:v>5</x:v>
      </x:c>
      <x:c r="E35" s="574">
        <x:f t="shared" si="6"/>
        <x:v>90</x:v>
      </x:c>
      <x:c r="F35" s="1518" t="n">
        <x:f t="shared" si="7">IF(OR(D35="",E35=""),"",D35*E35/100)</x:f>
        <x:v>4.5</x:v>
      </x:c>
      <x:c r="G35" s="1531">
        <x:v>306000000</x:v>
      </x:c>
      <x:c r="H35" s="1518" t="n">
        <x:f t="shared" si="8">IF(OR(C35="",G35="",C35=0),"",G35/C35*100)</x:f>
        <x:v>90</x:v>
      </x:c>
      <x:c r="I35" s="1518" t="n">
        <x:f t="shared" si="9">IF(OR(H35="",D35=""),"",H35*D35/100)</x:f>
        <x:v>4.5</x:v>
      </x:c>
      <x:c r="J35" s="1532" t="n">
        <x:f t="shared" si="10">IF(OR(C35="",G35=""),"",C35-G35)</x:f>
        <x:v>34000000</x:v>
      </x:c>
      <x:c r="K35" s="564" t="s">
        <x:v>613</x:v>
      </x:c>
      <x:c r="L35" s="544"/>
      <x:c r="M35" s="544"/>
      <x:c r="N35" s="544"/>
    </x:row>
    <x:row r="36">
      <x:c r="A36" s="565"/>
      <x:c r="B36" s="572" t="s">
        <x:v>214</x:v>
      </x:c>
      <x:c r="C36" s="1531">
        <x:v>204000000</x:v>
      </x:c>
      <x:c r="D36" s="1518" t="n">
        <x:f>IF(OR($C$26=0,C36=""),"",C36/$C$26*100)</x:f>
        <x:v>3</x:v>
      </x:c>
      <x:c r="E36" s="573">
        <x:f t="shared" si="6"/>
        <x:v>90</x:v>
      </x:c>
      <x:c r="F36" s="1518" t="n">
        <x:f t="shared" si="7">IF(OR(D36="",E36=""),"",D36*E36/100)</x:f>
        <x:v>2.7</x:v>
      </x:c>
      <x:c r="G36" s="1531">
        <x:v>183600000</x:v>
      </x:c>
      <x:c r="H36" s="1518" t="n">
        <x:f t="shared" si="8">IF(OR(C36="",G36="",C36=0),"",G36/C36*100)</x:f>
        <x:v>90</x:v>
      </x:c>
      <x:c r="I36" s="1518" t="n">
        <x:f t="shared" si="9">IF(OR(H36="",D36=""),"",H36*D36/100)</x:f>
        <x:v>2.7</x:v>
      </x:c>
      <x:c r="J36" s="1532" t="n">
        <x:f t="shared" si="10">IF(OR(C36="",G36=""),"",C36-G36)</x:f>
        <x:v>20400000</x:v>
      </x:c>
      <x:c r="K36" s="564" t="s">
        <x:v>613</x:v>
      </x:c>
      <x:c r="L36" s="544"/>
      <x:c r="M36" s="544"/>
      <x:c r="N36" s="544"/>
    </x:row>
    <x:row r="37">
      <x:c r="A37" s="565"/>
      <x:c r="B37" s="572" t="s">
        <x:v>215</x:v>
      </x:c>
      <x:c r="C37" s="1531">
        <x:v>408000000</x:v>
      </x:c>
      <x:c r="D37" s="1518" t="n">
        <x:f>IF(OR($C$26=0,C37=""),"",C37/$C$26*100)</x:f>
        <x:v>6</x:v>
      </x:c>
      <x:c r="E37" s="574">
        <x:f t="shared" si="6"/>
        <x:v>90</x:v>
      </x:c>
      <x:c r="F37" s="1518" t="n">
        <x:f t="shared" si="7">IF(OR(D37="",E37=""),"",D37*E37/100)</x:f>
        <x:v>5.4</x:v>
      </x:c>
      <x:c r="G37" s="1531">
        <x:v>367200000</x:v>
      </x:c>
      <x:c r="H37" s="1518" t="n">
        <x:f t="shared" si="8">IF(OR(C37="",G37="",C37=0),"",G37/C37*100)</x:f>
        <x:v>90</x:v>
      </x:c>
      <x:c r="I37" s="1518" t="n">
        <x:f t="shared" si="9">IF(OR(H37="",D37=""),"",H37*D37/100)</x:f>
        <x:v>5.4</x:v>
      </x:c>
      <x:c r="J37" s="1532" t="n">
        <x:f t="shared" si="10">IF(OR(C37="",G37=""),"",C37-G37)</x:f>
        <x:v>40800000</x:v>
      </x:c>
      <x:c r="K37" s="564" t="s">
        <x:v>613</x:v>
      </x:c>
      <x:c r="L37" s="544"/>
      <x:c r="M37" s="544"/>
      <x:c r="N37" s="544"/>
    </x:row>
    <x:row r="38">
      <x:c r="A38" s="565"/>
      <x:c r="B38" s="572" t="s">
        <x:v>615</x:v>
      </x:c>
      <x:c r="C38" s="1531">
        <x:v>408000000</x:v>
      </x:c>
      <x:c r="D38" s="1518" t="n">
        <x:f>IF(OR($C$26=0,C38=""),"",C38/$C$26*100)</x:f>
        <x:v>6</x:v>
      </x:c>
      <x:c r="E38" s="574">
        <x:f t="shared" si="6"/>
        <x:v>90</x:v>
      </x:c>
      <x:c r="F38" s="1518" t="n">
        <x:f>IF(OR(D38="",E38=""),"",D38*E38/100)</x:f>
        <x:v>5.4</x:v>
      </x:c>
      <x:c r="G38" s="1531">
        <x:v>367200000</x:v>
      </x:c>
      <x:c r="H38" s="1518" t="n">
        <x:f t="shared" si="8">IF(OR(C38="",G38="",C38=0),"",G38/C38*100)</x:f>
        <x:v>90</x:v>
      </x:c>
      <x:c r="I38" s="1518" t="n">
        <x:f t="shared" si="9">IF(OR(H38="",D38=""),"",H38*D38/100)</x:f>
        <x:v>5.4</x:v>
      </x:c>
      <x:c r="J38" s="1532" t="n">
        <x:f t="shared" si="10">IF(OR(C38="",G38=""),"",C38-G38)</x:f>
        <x:v>40800000</x:v>
      </x:c>
      <x:c r="K38" s="564" t="s">
        <x:v>613</x:v>
      </x:c>
      <x:c r="L38" s="544"/>
      <x:c r="M38" s="544"/>
      <x:c r="N38" s="544"/>
    </x:row>
    <x:row r="39">
      <x:c r="A39" s="565"/>
      <x:c r="B39" s="572" t="s">
        <x:v>616</x:v>
      </x:c>
      <x:c r="C39" s="1531">
        <x:v>204000000</x:v>
      </x:c>
      <x:c r="D39" s="1517" t="n">
        <x:f>IF(OR($C$26=0,C39=""),"",C39/$C$26*100)</x:f>
        <x:v>3</x:v>
      </x:c>
      <x:c r="E39" s="569">
        <x:v>94</x:v>
      </x:c>
      <x:c r="F39" s="1517" t="n">
        <x:f>IF(OR(D39="",E39=""),"",D39*E39/100)</x:f>
        <x:v>2.82</x:v>
      </x:c>
      <x:c r="G39" s="1531">
        <x:v>183600000</x:v>
      </x:c>
      <x:c r="H39" s="1517" t="n">
        <x:f>IF(OR(C39="",G39="",C39=0),"",G39/C39*100)</x:f>
        <x:v>90</x:v>
      </x:c>
      <x:c r="I39" s="1517" t="n">
        <x:f>IF(OR(H39="",D39=""),"",H39*D39/100)</x:f>
        <x:v>2.7</x:v>
      </x:c>
      <x:c r="J39" s="1531" t="n">
        <x:f>IF(OR(C39="",G39=""),"",C39-G39)</x:f>
        <x:v>20400000</x:v>
      </x:c>
      <x:c r="K39" s="564" t="s">
        <x:v>613</x:v>
      </x:c>
      <x:c r="L39" s="544"/>
      <x:c r="M39" s="544"/>
      <x:c r="N39" s="544"/>
    </x:row>
    <x:row r="40">
      <x:c r="A40" s="565"/>
      <x:c r="B40" s="572" t="s">
        <x:v>617</x:v>
      </x:c>
      <x:c r="C40" s="1531">
        <x:v>68000000</x:v>
      </x:c>
      <x:c r="D40" s="1517" t="n">
        <x:f>IF(OR($C$26=0,C40=""),"",C40/$C$26*100)</x:f>
        <x:v>1</x:v>
      </x:c>
      <x:c r="E40" s="569">
        <x:v>88</x:v>
      </x:c>
      <x:c r="F40" s="1517" t="n">
        <x:f>IF(OR(D40="",E40=""),"",D40*E40/100)</x:f>
        <x:v>0.88</x:v>
      </x:c>
      <x:c r="G40" s="1531">
        <x:v>61200000</x:v>
      </x:c>
      <x:c r="H40" s="1517" t="n">
        <x:f>IF(OR(C40="",G40="",C40=0),"",G40/C40*100)</x:f>
        <x:v>90</x:v>
      </x:c>
      <x:c r="I40" s="1517" t="n">
        <x:f>IF(OR(H40="",D40=""),"",H40*D40/100)</x:f>
        <x:v>0.9</x:v>
      </x:c>
      <x:c r="J40" s="1531" t="n">
        <x:f>IF(OR(C40="",G40=""),"",C40-G40)</x:f>
        <x:v>6800000</x:v>
      </x:c>
      <x:c r="K40" s="564" t="s">
        <x:v>613</x:v>
      </x:c>
      <x:c r="L40" s="544"/>
      <x:c r="M40" s="544"/>
      <x:c r="N40" s="544"/>
    </x:row>
    <x:row r="41" ht="25.5">
      <x:c r="A41" s="559">
        <x:v>3</x:v>
      </x:c>
      <x:c r="B41" s="579" t="s">
        <x:v>187</x:v>
      </x:c>
      <x:c r="C41" s="1529" t="n">
        <x:f>C42</x:f>
        <x:v>1988768787</x:v>
      </x:c>
      <x:c r="D41" s="1515" t="n">
        <x:f>IF($C$10=0,"",C41/$C$10*100)</x:f>
        <x:v>11.307038093933642</x:v>
      </x:c>
      <x:c r="E41" s="580" t="n">
        <x:f>IFERROR(E42,"")</x:f>
        <x:v>95</x:v>
      </x:c>
      <x:c r="F41" s="1515" t="n">
        <x:f>IF(OR(D41="",E41=""),"",D41*E41/100)</x:f>
        <x:v>10.74168618923696</x:v>
      </x:c>
      <x:c r="G41" s="1529" t="n">
        <x:f>G42</x:f>
        <x:v>1770004220</x:v>
      </x:c>
      <x:c r="H41" s="1515" t="n">
        <x:f>IF(OR(C41="",G41="",C41=0),"",G41/C41*100)</x:f>
        <x:v>88.99999997837858</x:v>
      </x:c>
      <x:c r="I41" s="1515" t="n">
        <x:f>IF(OR(H41="",D41=""),"",H41*D41/100)</x:f>
        <x:v>10.0632639011562</x:v>
      </x:c>
      <x:c r="J41" s="1529" t="n">
        <x:f>IF(OR(C41="",G41=""),"",C41-G41)</x:f>
        <x:v>218764567</x:v>
      </x:c>
      <x:c r="K41" s="558" t="s">
        <x:v>618</x:v>
      </x:c>
      <x:c r="L41" s="544"/>
      <x:c r="M41" s="544"/>
      <x:c r="N41" s="544"/>
    </x:row>
    <x:row r="42">
      <x:c r="A42" s="560">
        <x:v>1</x:v>
      </x:c>
      <x:c r="B42" s="581" t="s">
        <x:v>199</x:v>
      </x:c>
      <x:c r="C42" s="1531">
        <x:v>1988768787</x:v>
      </x:c>
      <x:c r="D42" s="1517" t="n">
        <x:f>IF(OR($C$41=0,C42=""),"",C42/$C$41*100)</x:f>
        <x:v>100</x:v>
      </x:c>
      <x:c r="E42" s="569">
        <x:v>95</x:v>
      </x:c>
      <x:c r="F42" s="1517" t="n">
        <x:f>IF(OR(D42="",E42=""),"",D42*E42/100)</x:f>
        <x:v>95</x:v>
      </x:c>
      <x:c r="G42" s="1531">
        <x:v>1770004220</x:v>
      </x:c>
      <x:c r="H42" s="1517" t="n">
        <x:f>IF(OR(C42="",G42="",C42=0),"",G42/C42*100)</x:f>
        <x:v>88.99999997837858</x:v>
      </x:c>
      <x:c r="I42" s="1517" t="n">
        <x:f>IF(OR(H42="",D42=""),"",H42*D42/100)</x:f>
        <x:v>88.99999997837858</x:v>
      </x:c>
      <x:c r="J42" s="1531" t="n">
        <x:f>IF(OR(C42="",G42=""),"",C42-G42)</x:f>
        <x:v>218764567</x:v>
      </x:c>
      <x:c r="K42" s="564" t="s">
        <x:v>619</x:v>
      </x:c>
      <x:c r="L42" s="544"/>
      <x:c r="M42" s="544"/>
      <x:c r="N42" s="544"/>
    </x:row>
    <x:row r="43">
      <x:c r="A43" s="560"/>
      <x:c r="B43" s="581"/>
      <x:c r="C43" s="1531"/>
      <x:c r="D43" s="568"/>
      <x:c r="E43" s="569"/>
      <x:c r="F43" s="569"/>
      <x:c r="G43" s="1531"/>
      <x:c r="H43" s="1517"/>
      <x:c r="I43" s="569"/>
      <x:c r="J43" s="1531"/>
      <x:c r="K43" s="564"/>
      <x:c r="L43" s="544"/>
      <x:c r="M43" s="544"/>
      <x:c r="N43" s="544"/>
    </x:row>
    <x:row r="44">
      <x:c r="A44" s="560"/>
      <x:c r="B44" s="581"/>
      <x:c r="C44" s="1531"/>
      <x:c r="D44" s="568"/>
      <x:c r="E44" s="569"/>
      <x:c r="F44" s="569"/>
      <x:c r="G44" s="1531"/>
      <x:c r="H44" s="1517"/>
      <x:c r="I44" s="569"/>
      <x:c r="J44" s="1531"/>
      <x:c r="K44" s="564"/>
      <x:c r="L44" s="544"/>
      <x:c r="M44" s="544"/>
      <x:c r="N44" s="544"/>
    </x:row>
    <x:row r="45">
      <x:c r="A45" s="798" t="s">
        <x:v>620</x:v>
      </x:c>
      <x:c r="B45" s="798"/>
      <x:c r="C45" s="1533" t="n">
        <x:f>C10</x:f>
        <x:v>17588768787</x:v>
      </x:c>
      <x:c r="D45" s="799"/>
      <x:c r="E45" s="799"/>
      <x:c r="F45" s="799"/>
      <x:c r="G45" s="1533" t="n">
        <x:f>G10</x:f>
        <x:v>15986004220</x:v>
      </x:c>
      <x:c r="H45" s="1526" t="n">
        <x:f>IF(C45=0,"",G45/C45*100)</x:f>
        <x:v>90.88756816119718</x:v>
      </x:c>
      <x:c r="I45" s="582"/>
      <x:c r="J45" s="1533" t="n">
        <x:f>IF(OR(C45="",G45=""),"",C45-G45)</x:f>
        <x:v>1602764567</x:v>
      </x:c>
      <x:c r="K45" s="584"/>
      <x:c r="L45"/>
    </x:row>
    <x:row r="47">
      <x:c r="B47" s="585"/>
      <x:c r="C47" s="544"/>
      <x:c r="D47" s="544"/>
      <x:c r="E47" s="544"/>
      <x:c r="F47" s="544"/>
      <x:c r="G47" s="586"/>
      <x:c r="H47" s="544"/>
      <x:c r="I47" s="795" t="s">
        <x:v>621</x:v>
      </x:c>
      <x:c r="J47" s="795"/>
      <x:c r="K47" s="586"/>
      <x:c r="L47" s="544"/>
      <x:c r="M47" s="544"/>
    </x:row>
    <x:row r="48">
      <x:c r="B48" s="585" t="s">
        <x:v>622</x:v>
      </x:c>
      <x:c r="C48" s="544"/>
      <x:c r="D48" s="544"/>
      <x:c r="E48" s="544"/>
      <x:c r="F48" s="544"/>
      <x:c r="G48" s="587"/>
      <x:c r="H48" s="544"/>
      <x:c r="I48" s="795" t="s">
        <x:v>623</x:v>
      </x:c>
      <x:c r="J48" s="795"/>
      <x:c r="K48" s="586"/>
      <x:c r="L48" s="544"/>
      <x:c r="M48" s="544"/>
    </x:row>
    <x:row r="49">
      <x:c r="B49" s="585" t="s">
        <x:v>624</x:v>
      </x:c>
      <x:c r="C49" s="544"/>
      <x:c r="D49" s="544"/>
      <x:c r="E49" s="544"/>
      <x:c r="F49" s="544"/>
      <x:c r="G49" s="588"/>
      <x:c r="H49" s="544"/>
      <x:c r="I49" s="795"/>
      <x:c r="J49" s="795"/>
      <x:c r="K49" s="544"/>
      <x:c r="L49" s="544"/>
      <x:c r="M49" s="544"/>
    </x:row>
    <x:row r="50">
      <x:c r="B50" s="585"/>
      <x:c r="C50" s="544"/>
      <x:c r="D50" s="544"/>
      <x:c r="E50" s="544"/>
      <x:c r="F50" s="544"/>
      <x:c r="G50" s="544"/>
      <x:c r="H50" s="544"/>
      <x:c r="I50" s="544"/>
      <x:c r="J50" s="544"/>
      <x:c r="K50" s="586"/>
      <x:c r="L50" s="544"/>
      <x:c r="M50" s="544"/>
    </x:row>
    <x:row r="51">
      <x:c r="B51" s="585"/>
      <x:c r="C51" s="544"/>
      <x:c r="D51" s="544"/>
      <x:c r="E51" s="544"/>
      <x:c r="F51" s="544"/>
      <x:c r="G51" s="586"/>
      <x:c r="H51" s="544"/>
      <x:c r="I51" s="544"/>
      <x:c r="J51" s="544"/>
      <x:c r="K51" s="544"/>
      <x:c r="L51" s="544"/>
      <x:c r="M51" s="544"/>
    </x:row>
    <x:row r="52">
      <x:c r="B52" s="585"/>
      <x:c r="C52" s="544"/>
      <x:c r="D52" s="544"/>
      <x:c r="E52" s="544"/>
      <x:c r="F52" s="544"/>
      <x:c r="G52" s="544"/>
      <x:c r="H52" s="544"/>
      <x:c r="I52" s="544"/>
      <x:c r="J52" s="544"/>
      <x:c r="K52" s="544"/>
      <x:c r="L52" s="544"/>
      <x:c r="M52" s="544"/>
    </x:row>
    <x:row r="53">
      <x:c r="B53" s="589" t="s">
        <x:v>625</x:v>
      </x:c>
      <x:c r="C53" s="544"/>
      <x:c r="D53" s="544"/>
      <x:c r="E53" s="544"/>
      <x:c r="F53" s="544"/>
      <x:c r="G53" s="544"/>
      <x:c r="H53" s="544"/>
      <x:c r="I53" s="794" t="s">
        <x:v>625</x:v>
      </x:c>
      <x:c r="J53" s="794"/>
      <x:c r="K53" s="590"/>
      <x:c r="L53" s="590"/>
      <x:c r="M53" s="590"/>
    </x:row>
    <x:row r="54">
      <x:c r="B54" s="585" t="s">
        <x:v>626</x:v>
      </x:c>
      <x:c r="C54" s="544"/>
      <x:c r="D54" s="544"/>
      <x:c r="E54" s="544"/>
      <x:c r="F54" s="544"/>
      <x:c r="G54" s="544"/>
      <x:c r="H54" s="544"/>
      <x:c r="I54" s="795" t="s">
        <x:v>626</x:v>
      </x:c>
      <x:c r="J54" s="795"/>
      <x:c r="K54" s="544"/>
      <x:c r="L54" s="544"/>
      <x:c r="M54" s="544"/>
    </x:row>
  </x:sheetData>
  <x:mergeCells>
    <x:mergeCell ref="I53:J53"/>
    <x:mergeCell ref="I54:J54"/>
    <x:mergeCell ref="A3:K3"/>
    <x:mergeCell ref="J6:J7"/>
    <x:mergeCell ref="A45:B45"/>
    <x:mergeCell ref="D45:F45"/>
    <x:mergeCell ref="I47:J47"/>
    <x:mergeCell ref="I48:J48"/>
    <x:mergeCell ref="I49:J49"/>
    <x:mergeCell ref="A1:K1"/>
    <x:mergeCell ref="A2:K2"/>
    <x:mergeCell ref="A4:K4"/>
    <x:mergeCell ref="A5:A7"/>
    <x:mergeCell ref="B5:B7"/>
    <x:mergeCell ref="C5:C7"/>
    <x:mergeCell ref="D5:D7"/>
    <x:mergeCell ref="E5:F5"/>
    <x:mergeCell ref="G5:I5"/>
    <x:mergeCell ref="K5:K7"/>
  </x:mergeCells>
  <x:pageMargins left="0.7" right="0.7" top="0.75" bottom="0.75" header="0.3" footer="0.3"/>
</x:worksheet>
</file>